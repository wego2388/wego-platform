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تعليمات" sheetId="1" r:id="rId5"/>
    <sheet state="visible" name="الرحلات" sheetId="2" r:id="rId6"/>
    <sheet state="visible" name="ملخص" sheetId="3" r:id="rId7"/>
  </sheets>
  <definedNames>
    <definedName hidden="1" localSheetId="1" name="_xlnm._FilterDatabase">'الرحلات'!$A$1:$Y$31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المعرّف الثابت للرحلة في النظام والرابط. ماينفعش يتغيّر.</t>
      </text>
    </comment>
    <comment authorId="0" ref="B1">
      <text>
        <t xml:space="preserve">آه = تظهر على الموقع وتتحجز. لأ = مخفية.</t>
      </text>
    </comment>
    <comment authorId="0" ref="D1">
      <text>
        <t xml:space="preserve">صحرا / بحر / ثقافة / عروض / انتقالات</t>
      </text>
    </comment>
    <comment authorId="0" ref="E1">
      <text>
        <t xml:space="preserve">رحلة = تتحجز وتتدفع. بالطلب = سعر على الطلب (واتساب). انتقال = مواصلات.</t>
      </text>
    </comment>
    <comment authorId="0" ref="F1">
      <text>
        <t xml:space="preserve">زي ما هتظهر للعميل بالإنجليزي، مثال: 5–6 hours</t>
      </text>
    </comment>
    <comment authorId="0" ref="G1">
      <text>
        <t xml:space="preserve">رقم بس باليورو. فاضي = سعر على الطلب.</t>
      </text>
    </comment>
    <comment authorId="0" ref="H1">
      <text>
        <t xml:space="preserve">فاضي = مفيش سعر أطفال مختلف.</t>
      </text>
    </comment>
    <comment authorId="0" ref="I1">
      <text>
        <t xml:space="preserve">مثال: Price per buggy (seats 2 adults)</t>
      </text>
    </comment>
    <comment authorId="0" ref="J1">
      <text>
        <t xml:space="preserve">افصل بفاصلة: شروق، صباحًا، بعد الظهر، غروب</t>
      </text>
    </comment>
    <comment authorId="0" ref="K1">
      <text>
        <t xml:space="preserve">لو الرحلة مش يومية: مثال «الأحد، الخميس». فاضي = كل يوم.</t>
      </text>
    </comment>
    <comment authorId="0" ref="M1">
      <text>
        <t xml:space="preserve">بيظهر على كارت الرحلة. حد أقصى 300 حرف.</t>
      </text>
    </comment>
    <comment authorId="0" ref="N1">
      <text>
        <t xml:space="preserve">حد أقصى 6000 حرف.</t>
      </text>
    </comment>
    <comment authorId="0" ref="O1">
      <text>
        <t xml:space="preserve">كل بند في سطر لوحده (Alt+Enter في إكسيل).</t>
      </text>
    </comment>
    <comment authorId="0" ref="Q1">
      <text>
        <t xml:space="preserve">هات إيه، مش مناسب لمين، ملاحظات مهمة.</t>
      </text>
    </comment>
    <comment authorId="0" ref="S1">
      <text>
        <t xml:space="preserve">آه / لأ / فاضي لو مش متأكد</t>
      </text>
    </comment>
    <comment authorId="0" ref="T1">
      <text>
        <t xml:space="preserve">رقم، أو فاضي</t>
      </text>
    </comment>
    <comment authorId="0" ref="U1">
      <text>
        <t xml:space="preserve">مشمول / مش مشمول / بعض المناطق</t>
      </text>
    </comment>
    <comment authorId="0" ref="V1">
      <text>
        <t xml:space="preserve">أكواد: en, ru, it, ar … مفصولة بفاصلة</t>
      </text>
    </comment>
    <comment authorId="0" ref="W1">
      <text>
        <t xml:space="preserve">النقط اللي لقيتها متعارضة أو مش مؤكدة في الموقع القديم.</t>
      </text>
    </comment>
    <comment authorId="0" ref="X1">
      <text>
        <t xml:space="preserve">اكتب هنا ردك على الأسئلة أو أي تعديل عايزه.</t>
      </text>
    </comment>
    <comment authorId="0" ref="Y1">
      <text>
        <t xml:space="preserve">مسودة = لسه. معتمد = راجعتها وموافق تتنشر.</t>
      </text>
    </comment>
  </commentList>
</comments>
</file>

<file path=xl/sharedStrings.xml><?xml version="1.0" encoding="utf-8"?>
<sst xmlns="http://schemas.openxmlformats.org/spreadsheetml/2006/main" count="530" uniqueCount="318">
  <si>
    <t>ملف رحلات Safari Tours Sharm — كل البيانات في مكان واحد</t>
  </si>
  <si>
    <t>عدد الرحلات</t>
  </si>
  <si>
    <t>إزاي تستخدم الملف:</t>
  </si>
  <si>
    <t>• كل صف = رحلة واحدة (30 رحلة) في شيت «الرحلات».</t>
  </si>
  <si>
    <t>• الخانات الصفرا = تعدّل فيها براحتك.</t>
  </si>
  <si>
    <t>• الخانات الرمادي (الكود) = ماتغيّرهاش، ده رابط الرحلة في النظام.</t>
  </si>
  <si>
    <t>• العمود الأحمر الفاتح = أسئلة لقيتها متعارضة أو مش مؤكدة في الموقع القديم.</t>
  </si>
  <si>
    <t>• العمود الأخضر = اكتب ردك فيه، وفي الآخر غيّر «الحالة» لـ«معتمد» لما توافق على الرحلة.</t>
  </si>
  <si>
    <t>• القوايم (المشمول، غير المشمول، اعرف قبل ما تروح): كل بند في سطر لوحده — في إكسيل اضغط Alt+Enter لسطر جديد.</t>
  </si>
  <si>
    <t>• النصوص للعملاء بالإنجليزي. العربي والروسي والإيطالي هنترجمهم بعد ما الإنجليزي يتعتمد.</t>
  </si>
  <si>
    <t>• لو في حاجة مش متأكد منها، سيب الخانة فاضية — الموقع مش هيعرض حاجة مش مؤكدة.</t>
  </si>
  <si>
    <t>الكود (slug)
ماتغيّروش</t>
  </si>
  <si>
    <t>سياسة الإلغاء المعتمدة حاليًا (لكل الرحلات):</t>
  </si>
  <si>
    <t>• استرداد كامل قبل الرحلة بـ48 ساعة أو أكتر.</t>
  </si>
  <si>
    <t>• 50% من 24 لـ48 ساعة.</t>
  </si>
  <si>
    <t>• أقل من 24 ساعة أو عدم الحضور: مفيش استرداد.</t>
  </si>
  <si>
    <t>لو عايز سياسة مختلفة لرحلة معينة، اكتبها في عمود «ردك».</t>
  </si>
  <si>
    <t>لما تخلص: ابعت الملف تاني، وأنا أقراه وأحدّث النظام، وأوريك الفرق قبل أي نشر.</t>
  </si>
  <si>
    <t>دليل الألوان:</t>
  </si>
  <si>
    <t>ظاهرة للبيع؟</t>
  </si>
  <si>
    <t>خانة تعدّل فيها</t>
  </si>
  <si>
    <t>اسم الرحلة (EN)</t>
  </si>
  <si>
    <t>الفئة</t>
  </si>
  <si>
    <t>النوع</t>
  </si>
  <si>
    <t>ماتعدّلش</t>
  </si>
  <si>
    <t>المدة (EN)</t>
  </si>
  <si>
    <t>معتمدة</t>
  </si>
  <si>
    <t>سعر البالغ €</t>
  </si>
  <si>
    <t>سعر الطفل €</t>
  </si>
  <si>
    <t>أسئلة محتاجة قرارك</t>
  </si>
  <si>
    <t>ملاحظة السعر (EN)</t>
  </si>
  <si>
    <t>الأوقات المتاحة</t>
  </si>
  <si>
    <t>ردك والحالة</t>
  </si>
  <si>
    <t>أيام التشغيل</t>
  </si>
  <si>
    <t>السعة (أفراد في الميعاد)</t>
  </si>
  <si>
    <t>وصف مختصر (EN)
سطر أو سطرين</t>
  </si>
  <si>
    <t>لسه مسودة</t>
  </si>
  <si>
    <t>الوصف الكامل (EN)</t>
  </si>
  <si>
    <t>المشمول (EN)
كل بند في سطر</t>
  </si>
  <si>
    <t>غير المشمول (EN)
كل بند في سطر</t>
  </si>
  <si>
    <t>اعرف قبل ما تروح (EN)
كل بند في سطر</t>
  </si>
  <si>
    <t>نقطة التجمع / الاستلام (EN)</t>
  </si>
  <si>
    <t>مناسب للأطفال؟</t>
  </si>
  <si>
    <t>أقل سن</t>
  </si>
  <si>
    <t>رحلات فيها أسئلة</t>
  </si>
  <si>
    <t>الاستلام من الفندق</t>
  </si>
  <si>
    <t>لغات المرشد</t>
  </si>
  <si>
    <t>⚠️ أسئلة محتاجة قرارك</t>
  </si>
  <si>
    <t>✍️ ردك / ملاحظاتك</t>
  </si>
  <si>
    <t>الحالة</t>
  </si>
  <si>
    <t>رحلات رديت عليها</t>
  </si>
  <si>
    <t>super-safari-adventure</t>
  </si>
  <si>
    <t>ظاهرة للبيع</t>
  </si>
  <si>
    <t>آه</t>
  </si>
  <si>
    <t>Super Safari Adventure</t>
  </si>
  <si>
    <t>صحرا</t>
  </si>
  <si>
    <t>رحلة</t>
  </si>
  <si>
    <t>5–6 hours</t>
  </si>
  <si>
    <t>صباحًا، غروب</t>
  </si>
  <si>
    <t>Quad bike through the Sinai dunes to the Valley of Echo, Bedouin tea in a tent and a camel ride.</t>
  </si>
  <si>
    <t>After a short drive of about 20 minutes to the quad center, our guides give you a safety briefing before you ride across the dunes towards the Echo Mountains. At the Valley of Echo you can call out and hear your voice return from the rock walls. At a Bedouin tent you relax with traditional tea, then take a camel ride across the desert before riding back to the start and returning to your hotel.</t>
  </si>
  <si>
    <t>Hotel pickup and drop-off
Air-conditioned transport
Quad bike ride
Camel ride
Stops at the Valley of Echo and a Bedouin tent
Bedouin tea
Tour guide
Entrance fees</t>
  </si>
  <si>
    <t>Headscarf
Sunglasses
Comfortable closed shoes
Not suitable for pregnant women or people with back or heart problems.
Children under 10 ride only as passengers with an accompanying adult.</t>
  </si>
  <si>
    <t>Pickup from your hotel in Sharm El Sheikh; the exact time is confirmed on WhatsApp after booking.</t>
  </si>
  <si>
    <t>مشمول</t>
  </si>
  <si>
    <t>1) الموقع القديم فيه قايمتين «مشمول» متناقضتين: واحدة (موتوسيكل، جمل، شاي بدوي) والتانية بتقول كمان «عشاء بدوي VIP + عرض تنورة ونار + زيارة قرية بدوية». استخدمت الأولى بس. هل العشاء والعرض مشمولين فعلًا؟
2) الموقع القديم بيقول الأوقات «شروق، بعد الظهر، غروب» والكتالوج المعتمد «صباحًا، غروب» — مين الصح؟ 00ده صح00مع الغروب عشاع vip</t>
  </si>
  <si>
    <t>مسودة</t>
  </si>
  <si>
    <t>sunset-quad-bike</t>
  </si>
  <si>
    <t xml:space="preserve">Sunset Quad Bike </t>
  </si>
  <si>
    <t>2–3 hours</t>
  </si>
  <si>
    <t>35 يورو</t>
  </si>
  <si>
    <t>غروب</t>
  </si>
  <si>
    <t>A quad bike ride across the dunes timed for the desert sunset, with a stop at the Valley of Echo and Bedouin tea.</t>
  </si>
  <si>
    <t>A short drive takes you to the quad center, where guides brief you on safe riding. You ride through the dunes towards the Echo Mountains as the light turns golden, stop at the Valley of Echo, and relax with Bedouin tea in a tent before heading back to your hotel.</t>
  </si>
  <si>
    <t>Hotel pickup and drop-off
Air-conditioned transport
Quad bike ride
Helmet and safety briefing
Stops at the Valley of Echo and a Bedouin tent
Bedouin tea
Tour guide
Entrance fees</t>
  </si>
  <si>
    <t>1) نص الموقع القديم لهذه الرحلة منسوخ من Super Safari (فيه ركوب جمل). شِلت الجمل من المشمول لأن قايمة «مشمول» التانية مافيهاش جمل — أكّد. 00شامل جمل00</t>
  </si>
  <si>
    <t>double-buggy-camel-ride</t>
  </si>
  <si>
    <t>Double Buggy &amp; Camel Ride</t>
  </si>
  <si>
    <t>30يورو</t>
  </si>
  <si>
    <t>Price per buggy (seats 2 adults)</t>
  </si>
  <si>
    <t>صباح وبعد الظهر</t>
  </si>
  <si>
    <t>Drive a two-seat sand buggy through the dunes, stop at the Valley of Echo and a Bedouin tent, then ride a camel.</t>
  </si>
  <si>
    <t>After a short drive to the buggy center and a safety briefing, you and your partner drive a sand buggy across the dunes towards the Echo Mountains. You stop at the Valley of Echo and a Bedouin tent for tea, take a camel ride across the sand, and drive back to the start before your transfer to the hotel.</t>
  </si>
  <si>
    <t>Hotel pickup and drop-off
Air-conditioned transport
Two-seat sand buggy
Camel ride
Stops at the Valley of Echo and a Bedouin tent
Bedouin tea
Safety equipment
Tour guide
Entrance fees</t>
  </si>
  <si>
    <t>Headscarf
Sunglasses
Comfortable closed shoes
Not suitable for pregnant women or people with back or heart problems.
Children under 10 ride only as passengers with an accompanying adult.
The price is per buggy, which seats two.</t>
  </si>
  <si>
    <t>bedouin-dinner-camel-ride</t>
  </si>
  <si>
    <t>Bedouin Dinner &amp; Camel Ride</t>
  </si>
  <si>
    <t>3–4 hours</t>
  </si>
  <si>
    <t>35يورو</t>
  </si>
  <si>
    <t>Ride a camel through the dunes at sunset, then enjoy a Bedouin barbecue dinner with fire and Tanoura shows.</t>
  </si>
  <si>
    <t>A short drive of about 20 minutes brings you to a Bedouin village. You ride a camel through the dunes as the sun sets, then sit down to a barbecue dinner prepared by the Bedouins with fresh-baked bread and Bedouin tea. The evening ends with a fire show and a Tanoura performance before the transfer back to your hotel.</t>
  </si>
  <si>
    <t>Hotel pickup and drop-off
Air-conditioned transport
Camel ride
Barbecue Bedouin dinner (open buffet)
Bedouin tea
Fire show and Tanoura show
Tour guide
Entrance fees</t>
  </si>
  <si>
    <t>Comfortable clothes and shoes
A light jacket for the evening</t>
  </si>
  <si>
    <t>1) الموقع القديم بيذكر «خيمة خاصة» كإضافة مدفوعة — مش ظاهرة في الحجز الجديد. نضيفها كخدمة؟</t>
  </si>
  <si>
    <t>dahab-colored-canyon</t>
  </si>
  <si>
    <t>Dahab 5×1 / Colored Canyon</t>
  </si>
  <si>
    <t>ثقافة</t>
  </si>
  <si>
    <t>8–10 hours</t>
  </si>
  <si>
    <t>صباحًا</t>
  </si>
  <si>
    <t>A full day from Sharm: the Colored Canyon by jeep, lunch by the sea, a coastal camel ride, snorkeling and Dahab's bazaar.</t>
  </si>
  <si>
    <t>After a drive of about an hour to the Dahab area, a jeep takes you to the Colored Canyon (Salama Red Canyon), where you walk about 800 meters between sandstone walls in shades from yellow and purple to red and gold. You have lunch by the sea, ride a camel along the coast, and relax, swim and snorkel at the Three Pools. The day ends with free time in the Dahab bazaar before the drive back to Sharm.</t>
  </si>
  <si>
    <t>Hotel pickup and drop-off
Jeep to the Colored Canyon
Guided canyon walk
Lunch by the sea
Camel ride along the coast
Stop at the Three Pools
Free time in Dahab
Local guide</t>
  </si>
  <si>
    <t>Passport
Snorkeling gear
Drinking water
Comfortable shoes
Towel and swimwear</t>
  </si>
  <si>
    <t>1) «الغدا» و«ركوب الجمل» مذكورين في البرنامج بس مش في قايمة المشمول القديمة — هل مشمولين في السعر؟</t>
  </si>
  <si>
    <t>camel-horse-ride</t>
  </si>
  <si>
    <t>Camel &amp; Horse Ride</t>
  </si>
  <si>
    <t>1 hour</t>
  </si>
  <si>
    <t>صباحًا، بعد الظهر، غروب</t>
  </si>
  <si>
    <t>A calm camel ride across the Sinai desert with views of the mountains — simple, authentic and family-friendly.</t>
  </si>
  <si>
    <t>Move slowly across golden sand on a traditional camel ride and take in panoramic views of the mountains and open desert. It is a simple, authentic way to experience the Sinai landscape and Bedouin culture, and a good first desert experience for families and couples.</t>
  </si>
  <si>
    <t>Hotel pickup and drop-off
Camel ride
Photo stop
Local guide</t>
  </si>
  <si>
    <t>Comfortable clothes
Sun protection
Help is available to get on and off the camel.</t>
  </si>
  <si>
    <t>00حصان فقط في الجبل</t>
  </si>
  <si>
    <t>ras-mohamed-white-island-boat</t>
  </si>
  <si>
    <t>Ras Mohamed &amp; White Island Boat Trip</t>
  </si>
  <si>
    <t>بحر</t>
  </si>
  <si>
    <t>8–9 hours</t>
  </si>
  <si>
    <t>40يورو</t>
  </si>
  <si>
    <t>A full-day boat trip along the Sinai coast with two snorkeling stops in Ras Mohammed National Park and time on White Island.</t>
  </si>
  <si>
    <t>The day starts with hotel pickup at around 8:00 and a transfer to the marina. You cruise along the Sinai coastline to Ras Mohammed National Park and snorkel at two different spots in its clear water, with an optional introductory dive. Lunch is served as a buffet on deck, then you relax on the soft sand of White Island before returning to the marina and your hotel.</t>
  </si>
  <si>
    <t>Hotel pickup and drop-off
Air-conditioned transport
Ras Mohammed National Park entrance fees
Boat trip with two snorkeling stops
Visit to White Island
Buffet lunch on board
Unlimited soft and hot drinks</t>
  </si>
  <si>
    <t>Snorkeling equipment (available for an extra fee)
Introductory dive (optional, extra)</t>
  </si>
  <si>
    <t>Sunglasses, sunscreen and a towel
Passport or ID (a copy is accepted)
Scuba diving is not suitable for children under 10 or pregnant women.
Plans may change with sea and weather conditions.</t>
  </si>
  <si>
    <t>1) تعارض: قايمة قديمة بتقول «معدات السنوركل بمصاريف إضافية» والتانية بتقول «معدات السنوركل مشمولة» — أنهي الصح؟
2) «مدرب غطس محترف» مكتوب مشمول، بس الغطسة نفسها «لو اتختارت» — هل الغطسة بفلوس إضافية؟</t>
  </si>
  <si>
    <t>evening-cruise</t>
  </si>
  <si>
    <t>Evening Cruise</t>
  </si>
  <si>
    <t>2–5 hours</t>
  </si>
  <si>
    <t>An evening on the water with dinner on board, music and a Tanoura and oriental show.</t>
  </si>
  <si>
    <t>Spend the evening sailing off Sharm El Sheikh with dinner on board — seafood, meat, chicken, vegetables and fruit — followed by live entertainment including jugglers, a Tanoura dance and an oriental dance show. It suits couples and celebrations; guests celebrating a birthday receive a cake.</t>
  </si>
  <si>
    <t>Hotel pickup and drop-off
Evening boat cruise
Dinner on board
Soft drinks
Music and show</t>
  </si>
  <si>
    <t>Warm clothes in winter
Passport
Smart casual clothing is recommended.
Subject to weather conditions.</t>
  </si>
  <si>
    <t>1) الموقع القديم بيقول المدة 18:00–22:00 (4 ساعات) والكتالوج «2–5 ساعات» — نثبّت أنهي؟
2) «تورتة عيد الميلاد مجانًا» — وعد لسه ساري؟</t>
  </si>
  <si>
    <t>glass-bottom-boat</t>
  </si>
  <si>
    <t>Glass Bottom Boat</t>
  </si>
  <si>
    <t>1.5 hours</t>
  </si>
  <si>
    <t>15يورو</t>
  </si>
  <si>
    <t>صباحًا، بعد الظهر</t>
  </si>
  <si>
    <t>See the Red Sea's coral reefs and fish through a glass floor — no swimming needed and ideal for all ages.</t>
  </si>
  <si>
    <t>Watch coral formations and marine life through the boat's glass-bottomed viewing area without getting wet. The boat sails close to well-known reef spots; the lower level is for viewing and the upper deck for sun and sea breeze. The cruise itself lasts about an hour, and you are returned to where you started.</t>
  </si>
  <si>
    <t>Hotel pickup and drop-off
Air-conditioned transport
Glass-bottom boat trip
Entrance fees</t>
  </si>
  <si>
    <t>Sunglasses and water
Passport or ID (a copy is accepted)
Not wheelchair accessible; strollers are fine and infants sit on laps.
Subject to sea conditions.</t>
  </si>
  <si>
    <t>1) قايمة «مشمول» التانية فيها «مشروبات» و«مرشد» — مش في الأولى. مشمولين؟</t>
  </si>
  <si>
    <t>diving-course</t>
  </si>
  <si>
    <t>Diving Course</t>
  </si>
  <si>
    <t>2–3 days</t>
  </si>
  <si>
    <t>Take your diving further with an advanced course in the Red Sea, guided by professional instructors.</t>
  </si>
  <si>
    <t>Explore deeper dive sites, refine your technique and enjoy the Red Sea's reefs and marine life on a multi-day course with professional instructors. Designed for certified divers who want more challenge.</t>
  </si>
  <si>
    <t>Professional instructor
Diving equipment
Multiple dives</t>
  </si>
  <si>
    <t>An Open Water certification is required.
A medical declaration may be required.
Not suitable for beginners.</t>
  </si>
  <si>
    <t>Pickup from your hotel or meeting at the dive center — confirmed on WhatsApp after booking.</t>
  </si>
  <si>
    <t>1) «الشهادة (لو ينطبق)» — أنهي شهادة ومن أنهي جهة (PADI/SSI)؟ ومين مركز الغطس؟ محتاج تأكيد قبل النشر.</t>
  </si>
  <si>
    <t>intro-diving</t>
  </si>
  <si>
    <t>Intro Diving</t>
  </si>
  <si>
    <t>بالطلب</t>
  </si>
  <si>
    <t>15 minutes underwater</t>
  </si>
  <si>
    <t>20يورو</t>
  </si>
  <si>
    <t>Try scuba diving for the first time — a supervised introductory dive among the Red Sea's corals and fish.</t>
  </si>
  <si>
    <t>No licence or experience is needed. After a briefing, a professional instructor takes you on a short introductory dive to see colourful coral reefs and tropical fish in a safe, relaxed setting.</t>
  </si>
  <si>
    <t>Introductory dive with a professional instructor
Full diving equipment
Boat trip</t>
  </si>
  <si>
    <t>No previous experience required.
Not suitable for people with heart, ear or breathing problems.
A medical declaration may be required.
Not suitable for children under 10 or pregnant women.</t>
  </si>
  <si>
    <t>1) المدة: الكتالوج «15 دقيقة تحت المية» وصفحات تانية بتقول «10 دقايق» — أنهي؟</t>
  </si>
  <si>
    <t>private-boat</t>
  </si>
  <si>
    <t>لأ</t>
  </si>
  <si>
    <t>Private Boat</t>
  </si>
  <si>
    <t>4–8 hours</t>
  </si>
  <si>
    <t>Price on request — contact via WhatsApp</t>
  </si>
  <si>
    <t>Your own boat for the day to Tiran Island or Ras Mohammed, with snorkeling stops and lunch on board — on request.</t>
  </si>
  <si>
    <t>Choose Tiran Island or Ras Mohammed National Park and a half or full day. A private transfer picks you up at around 9:00, and you snorkel or dive at two spots, have a buffet lunch on deck and spend quality time with your group. Suitable for groups of up to 15 people. Price on request.</t>
  </si>
  <si>
    <t>Hotel pickup and drop-off
Air-conditioned transport
Private boat with captain and crew
Snorkeling equipment
Entrance fees
Buffet lunch
Unlimited soft and hot drinks</t>
  </si>
  <si>
    <t>Sunglasses, sunscreen and a towel
Passport or ID (a copy is accepted)
Scuba diving is not suitable for children under 10 or pregnant women.
Book in advance; route and duration can be customised.</t>
  </si>
  <si>
    <t>1) رحلة «بالطلب» (سعر على الطلب) — هتفضل مش قابلة للحجز المباشر زي ما هي.</t>
  </si>
  <si>
    <t>sinai-dream-sailboat</t>
  </si>
  <si>
    <t>Sinai Dream Sailboat</t>
  </si>
  <si>
    <t>5–8 hours</t>
  </si>
  <si>
    <t>A day on a comfortable sailboat with three snorkeling stops and a seafood buffet lunch.</t>
  </si>
  <si>
    <t>Sail along the coast with three stops for snorkeling over colourful coral. The sailboat has an upper deck with seating, sun loungers, indoor lounges and swings over the sea. A seafood buffet lunch and drinks are served on board.</t>
  </si>
  <si>
    <t>Hotel pickup and drop-off
Sailboat trip
Three snorkeling stops
Snorkeling equipment
Seafood buffet lunch
Soft drinks
Professional crew</t>
  </si>
  <si>
    <t>Swimwear
Towel
Sunscreen
Sunglasses
Limited number of guests on board.
Subject to weather and sea conditions.</t>
  </si>
  <si>
    <t>1) «مرشد بيتكلم روسي» — متاح دايمًا؟ لو آه نضيفه في لغات المرشد.</t>
  </si>
  <si>
    <t>ras-mohamed-by-bus</t>
  </si>
  <si>
    <t>Ras Mohamed by Bus</t>
  </si>
  <si>
    <t>4–6 hours</t>
  </si>
  <si>
    <t>A half day in Ras Mohammed National Park by road: snorkeling, mangroves, the Magic Lake and the Earth Crack.</t>
  </si>
  <si>
    <t>About 30 minutes from Sharm, Ras Mohammed National Park welcomes you at the Allah Gate. You snorkel over coral in the park's clear water, walk among the mangroves, swim in the salty Magic Lake, see the Earth Crack and climb a cliff for a panoramic photo before returning to your hotel. The trip runs from about 8:00 to 14:00.</t>
  </si>
  <si>
    <t>Hotel pickup and drop-off
Air-conditioned bus
Snorkeling guide
Ras Mohammed National Park entrance fees</t>
  </si>
  <si>
    <t>Food and drinks</t>
  </si>
  <si>
    <t>Snorkeling gear, swimwear and a towel
Snacks and water
Sunglasses, sunscreen and comfortable shoes</t>
  </si>
  <si>
    <t>banana-boat</t>
  </si>
  <si>
    <t>Banana Boat</t>
  </si>
  <si>
    <t>10–15 minutes</t>
  </si>
  <si>
    <t>Hold on tight as a speedboat pulls your banana boat across the waves — a quick, fun water ride.</t>
  </si>
  <si>
    <t>You are picked up from your hotel and taken to the beach, where the crew gives a safety briefing and life jackets. Then it's a fast ride across the waves on the banana boat as you try to stay on.</t>
  </si>
  <si>
    <t>Hotel pickup and drop-off
Air-conditioned transport
Banana boat ride
Life jacket and safety briefing</t>
  </si>
  <si>
    <t>Sun hat, sunglasses and a towel
Basic swimming skills are recommended.
Not suitable for pregnant women or people with back or heart problems.
Not suitable for children under 10.</t>
  </si>
  <si>
    <t>1) الموقع القديم بيقول «رحلة خاصة لمجموعتك بس» و«</t>
  </si>
  <si>
    <t>parasailing-adventure</t>
  </si>
  <si>
    <t>Parasailing Adventure</t>
  </si>
  <si>
    <t>6–10 minutes flight</t>
  </si>
  <si>
    <t>Fly high above the Red Sea for a bird's-eye view of the coast — solo or with a partner.</t>
  </si>
  <si>
    <t>After hotel pickup and a safety briefing, a boat takes you out and you rise above the sea on a parachute for around 7 minutes, taking in the coastline from above, alone or with your partner. No experience is needed.</t>
  </si>
  <si>
    <t>Hotel pickup and drop-off
Air-conditioned transport
Parasailing flight
Boat ride
Safety equipment
Professional crew</t>
  </si>
  <si>
    <t>Sun hat, sunglasses and a towel
Not suitable for pregnant women or people with back or heart problems.
Not suitable for children under 10.
Weather dependent.</t>
  </si>
  <si>
    <t>speed-boat-adventure</t>
  </si>
  <si>
    <t>Speed Boat Adventure</t>
  </si>
  <si>
    <t>30–60 minutes</t>
  </si>
  <si>
    <t>Price per boat</t>
  </si>
  <si>
    <t>A private speedboat for your group to Tiran Island: snorkel the reefs, pass the shipwreck and look out for dolphins.</t>
  </si>
  <si>
    <t>Board a private RIB speedboat for up to 8 people with an experienced captain. Snorkel at Tiran Island's reefs, pass the historic shipwreck and keep an eye out for dolphins in the wild. Life jackets, snorkel masks and a cooler with drinks are on board. Book at least 2 days in advance.</t>
  </si>
  <si>
    <t>Hotel pickup and drop-off by air-conditioned minibus
Private speedboat with captain
Snorkel mask
Cooler with drinks
Life jackets</t>
  </si>
  <si>
    <t>Tips for the captain
Personal expenses</t>
  </si>
  <si>
    <t>Book at least 2 days in advance.
Up to 8 people per boat; the price is per boat.
Not suitable for pregnant women or people with back or neck problems.
Subject to sea and weather conditions.</t>
  </si>
  <si>
    <t>1) تعارض كبير في المدة: النص القديم «3 ساعات حجز خاص» والكتالوج المعتمد «30–60 دقيقة» — لازم نصلّح واحد فيهم قبل النشر.
2) «فرصة تشوف دلافين» — صياغتها «ممكن تشوف» مش وعد. موافق؟</t>
  </si>
  <si>
    <t>submarine</t>
  </si>
  <si>
    <t>Submarine</t>
  </si>
  <si>
    <t>1.5–2 hours</t>
  </si>
  <si>
    <t>Watch fish and coral through large windows from an underwater viewing cabin — no swimming needed.</t>
  </si>
  <si>
    <t>A short drive takes you to the jetty and a 15-minute sail along the coast. You then descend to the underwater cabin for about 45 minutes of reef and fish viewing through large panoramic windows — you may even wave to divers outside — before sailing back.</t>
  </si>
  <si>
    <t>Hotel pickup and drop-off
Air-conditioned transport
Submarine trip
Tour guide
Entrance fees</t>
  </si>
  <si>
    <t>Passport or ID (a copy is accepted)
A bottle of water
Not suitable for wheelchair users.
Subject to sea and weather conditions.</t>
  </si>
  <si>
    <t>tiran-island-boat-trip</t>
  </si>
  <si>
    <t>Tiran Island Boat Trip</t>
  </si>
  <si>
    <t>A full-day boat trip to Tiran Island with two snorkeling stops, buffet lunch on board and a chance to spot dolphins.</t>
  </si>
  <si>
    <t>Pickup at around 8:00 takes you to the marina for a cruise along the Sharm coast towards Tiran Island — with luck you may see dolphins on the way. You snorkel at two different spots, with an optional introductory dive, and enjoy a buffet lunch on deck before returning to the marina and your hotel.</t>
  </si>
  <si>
    <t>Hotel pickup and drop-off
Air-conditioned transport
Entrance fees
Boat trip with two snorkeling stops
Snorkeling equipment
Buffet lunch on board
Unlimited soft and hot drinks</t>
  </si>
  <si>
    <t>Introductory dive (optional, extra)</t>
  </si>
  <si>
    <t>Sunglasses, sunscreen and a towel
Passport or ID (a copy is accepted)
Scuba diving is not suitable for children under 10 or pregnant women.</t>
  </si>
  <si>
    <t>1) زي رحلة رأس محمد: هل الغطسة بفلوس إضافية؟ نعم ايكسترا</t>
  </si>
  <si>
    <t>tube-boat</t>
  </si>
  <si>
    <t>Tube Boat</t>
  </si>
  <si>
    <t>Glide over the water on an inflatable tube pulled by a speedboat — a short, splashy thrill.</t>
  </si>
  <si>
    <t>After hotel pickup and a safety briefing on the beach, you ride an inflatable tube pulled by a speedboat across the water.</t>
  </si>
  <si>
    <t>Hotel pickup and drop-off
Air-conditioned transport
Tube ride
Life jacket and safety briefing</t>
  </si>
  <si>
    <t>cairo-by-bus</t>
  </si>
  <si>
    <t>Cairo by Bus</t>
  </si>
  <si>
    <t>20–24 hours</t>
  </si>
  <si>
    <t>A long day trip by road to Cairo: the Egyptian Museum with an Egyptologist, lunch by the Nile and the Pyramids of Giza.</t>
  </si>
  <si>
    <t>Travel by bus to Cairo and start at the Egyptian Museum, where an Egyptologist guides you through highlights including the treasures of Tutankhamun. After lunch at a restaurant on the Nile, you visit papyrus and perfume workshops and then the Giza Plateau with the Pyramids of Khufu, Khafre and Menkaure and the Great Sphinx, before the long ride back to Sharm.</t>
  </si>
  <si>
    <t>Hotel pickup and drop-off
Air-conditioned bus
Egyptologist guide
Entrance fees to the sites in the program
Lunch and drinks</t>
  </si>
  <si>
    <t>Passport
Comfortable clothing, a hat and sunscreen
It is a very long day with many hours on the road.</t>
  </si>
  <si>
    <t>1) تعارض في المدة: النص «حوالي 10 ساعات» والكتالوج «20–24 ساعة» — الرحلة بالأتوبيس من شرم للقاهرة غالبًا 20+ ساعة؛ أكّد.
2) حذفت «الأهرامات عمرها 3000 سنة» لأنها غلط تاريخيًا (أكتر من 4500).</t>
  </si>
  <si>
    <t>cairo-by-plane</t>
  </si>
  <si>
    <t>Cairo by Plane</t>
  </si>
  <si>
    <t>Fly to Cairo for the day: the Egyptian Museum, lunch by the Nile, the Pyramids and the Sphinx, then fly back.</t>
  </si>
  <si>
    <t>An early pickup (around 4–5 am) takes you to Sharm airport for your flight to Cairo, where your English-speaking guide meets you. Visit the Egyptian Museum, have lunch with a view of the Nile, stop at a perfume workshop, explore the Giza Plateau with the Pyramids and the Sphinx, and visit a papyrus institute before your flight back. Runs on Sundays and Thursdays.</t>
  </si>
  <si>
    <t>Hotel–airport transfers in Sharm and all transfers in Cairo
Return flights Sharm–Cairo
English-speaking guide
Entrance fees to the sites in the program
Lunch in Cairo</t>
  </si>
  <si>
    <t>Drinks at the restaurant
Optional felucca ride on the Nile
Entry inside the two larger pyramids</t>
  </si>
  <si>
    <t>Passport (required for the flight)
You may take a breakfast box from your hotel.
Pickup around 5:00, return around 22:00.</t>
  </si>
  <si>
    <t>en</t>
  </si>
  <si>
    <t>1) «بتشتغل الأحد والخميس بس» — لسه ساري؟ لو آه لازم المواعيد في النظام تبقى الأيام دي بس.</t>
  </si>
  <si>
    <t>mount-sinai-st-catherine</t>
  </si>
  <si>
    <t>Mount Sinai &amp; St. Catherine</t>
  </si>
  <si>
    <t>15–16 hours</t>
  </si>
  <si>
    <t>Climb Mount Sinai overnight to watch the sunrise from the summit, then visit St. Catherine's Monastery.</t>
  </si>
  <si>
    <t>Pickup is around 20:00 for a drive of about 4 hours. You climb Mount Sinai (2,285 m), finishing with some 750 steps, in 2–3 hours to watch the sunrise from the top. After descending you visit St. Catherine's Monastery and the Chapel of the Burning Bush before returning to Sharm around 13:30. Camels can carry you only for the first part of the path.</t>
  </si>
  <si>
    <t>Hotel pickup and drop-off
Air-conditioned transport
Guided climb
Visit to St. Catherine's Monastery</t>
  </si>
  <si>
    <t>Passport or ID
Hiking shoes and a warm jacket (it is cold at the top, especially in winter)
Water, snacks and a power bank
Not suitable for pregnant women, children, older guests or people with back, heart or breathing problems.
Runs on Sundays, Wednesdays and Fridays.</t>
  </si>
  <si>
    <t>1) «بتشتغل الأحد والأربع والجمعة بس» — أكّد عشان المواعيد في النظام.</t>
  </si>
  <si>
    <t>luxor-by-plane</t>
  </si>
  <si>
    <t>Luxor by Plane</t>
  </si>
  <si>
    <t>Fly to Luxor for the day: the Valley of the Kings, Hatshepsut's temple, the Colossi of Memnon and Karnak.</t>
  </si>
  <si>
    <t>An early transfer takes you to Sharm airport for the short flight to Luxor. With an Egyptologist you visit the Valley of the Kings, the Temple of Hatshepsut at Deir el-Bahari and the Colossi of Memnon, have lunch at a local restaurant, and explore Karnak Temple and its Hypostyle Hall before flying back in the evening.</t>
  </si>
  <si>
    <t>Hotel–airport transfers
Return flights Sharm–Luxor
Egyptologist guide
Entrance fees to the sites in the program
Lunch at a local restaurant</t>
  </si>
  <si>
    <t>Special tombs such as Tutankhamun's
Personal expenses and tips</t>
  </si>
  <si>
    <t>Passport (required for the flight)
Comfortable walking shoes
Hat, sunglasses and sunscreen</t>
  </si>
  <si>
    <t>1) النص القديم فيه سعر «$250» بالدولار والكتالوج €280 — الكتالوج هو اللي هيتعرض، بس أكّد.</t>
  </si>
  <si>
    <t>st-catherine-dahab</t>
  </si>
  <si>
    <t>St. Catherine &amp; Dahab</t>
  </si>
  <si>
    <t>11–12 hours</t>
  </si>
  <si>
    <t>Visit St. Catherine's Monastery, then lunch and free time in Dahab — a relaxed cultural day.</t>
  </si>
  <si>
    <t>Visit the famous St. Catherine's Monastery with its historic church, icon gallery, the Burning Bush and library. Afterwards you have lunch at a restaurant in Dahab and free time to stroll the town before returning to Sharm. A comfortable day for history lovers and travellers seeking a spiritual experience.</t>
  </si>
  <si>
    <t>Hotel pickup and drop-off
Air-conditioned transport
Visit to St. Catherine's Monastery
Lunch in Dahab
Free time in Dahab
Local guide</t>
  </si>
  <si>
    <t>Passport
Comfortable walking shoes
Runs on Mondays, Thursdays and Saturdays.</t>
  </si>
  <si>
    <t>1) النص القديم كان بالعربي بس، وفيه «مطعم 4 نجوم» — شِلتها لحد ما تتأكد.</t>
  </si>
  <si>
    <t>turkish-bath</t>
  </si>
  <si>
    <t>Turkish Bath</t>
  </si>
  <si>
    <t>عروض</t>
  </si>
  <si>
    <t>1–2 hours</t>
  </si>
  <si>
    <t>A traditional hammam ritual: sauna, jacuzzi and steam, peeling, soap massage and a relaxing massage.</t>
  </si>
  <si>
    <t>Step into a traditional Turkish bath and enjoy the sauna, jacuzzi and steam room, followed by peeling, a foam soap massage, a face mask, sea-salt treatment for hands and feet and a relaxing body massage.</t>
  </si>
  <si>
    <t>Hotel pickup and drop-off
Sauna, jacuzzi and steam room
Peeling and soap massage
Face mask
Body massage
Towels</t>
  </si>
  <si>
    <t>For adults.
Book ahead in high season.</t>
  </si>
  <si>
    <t>1) مدة المساج: نص قديم «30 دقيقة» ونص تاني «50 دقيقة» — أنهي؟
2) الـ slug في الموقع القديم كان «turkish-path» (غلطة إملائية) — هنحوّل الرابط القديم للجديد.</t>
  </si>
  <si>
    <t>dolphin-show</t>
  </si>
  <si>
    <t>Dolphin Show</t>
  </si>
  <si>
    <t>An hour-long dolphin show in Sharm with jumps, spins and a look at how dolphins communicate.</t>
  </si>
  <si>
    <t>A pickup of about 20 minutes takes you to the venue for a one-hour show in which dolphins jump, spin and swim, with explanations about how they communicate and behave.</t>
  </si>
  <si>
    <t>Hotel pickup and drop-off
Air-conditioned transport
Show entrance ticket</t>
  </si>
  <si>
    <t>Photography only in designated areas.
Show times may vary by season.</t>
  </si>
  <si>
    <t>1) حذفت الكلام عن «جهود الحماية» — ادعاء محتاج دليل. وموضوع عروض الدلافين حساس لبعض السياح الأوروبيين؛ حابب نكمّل نعرضها؟</t>
  </si>
  <si>
    <t>swimming-with-dolphins</t>
  </si>
  <si>
    <t>Swimming with Dolphins</t>
  </si>
  <si>
    <t>15 minutes</t>
  </si>
  <si>
    <t>70يورو</t>
  </si>
  <si>
    <t>Fifteen minutes in the water with dolphins, supervised by trainers, with a life jacket provided.</t>
  </si>
  <si>
    <t>After a 20-minute drive to the venue you spend 15 minutes in the water with dolphins under the supervision of trainers, with a life jacket provided. Phones are not allowed in the water; professional photos and videos can be bought.</t>
  </si>
  <si>
    <t>Hotel pickup and drop-off
Air-conditioned transport
Entrance ticket
15 minutes swimming with dolphins
Life jacket</t>
  </si>
  <si>
    <t>Professional photos and videos (available to buy)</t>
  </si>
  <si>
    <t>Swimwear, towel, sunglasses and sunscreen
Phones are not allowed while swimming.
Non-swimmers may need assistance.</t>
  </si>
  <si>
    <t>1) حذفت «ركوب الدلفين من الزعنفة» — ممارسة بتضر الحيوان وبتعمل مشاكل سمعة مع السياح الأوروبيين. موافق00؟حزف نعم حزف00</t>
  </si>
  <si>
    <t>crocodile-show</t>
  </si>
  <si>
    <t>Crocodile Show</t>
  </si>
  <si>
    <t>A one-hour crocodile show where trainers demonstrate how these animals are handled.</t>
  </si>
  <si>
    <t>Watch skilled trainers work with crocodiles in a one-hour show in Sharm El Sheikh.</t>
  </si>
  <si>
    <t>Hotel pickup and drop-off
Show entrance ticket</t>
  </si>
  <si>
    <t>Children must be accompanied by adults.
Photography only in designated areas.
Show times may vary.</t>
  </si>
  <si>
    <t>1) المحتوى القديم قليل جدًا — محتاجين تفاصيل أكتر (المكان، المواعيد). ممكمن تلغي الرحاه ده</t>
  </si>
  <si>
    <t>sharm-airport-transfer</t>
  </si>
  <si>
    <t>Sharm Airport Transfer</t>
  </si>
  <si>
    <t>انتقالات</t>
  </si>
  <si>
    <t>انتقال</t>
  </si>
  <si>
    <t>€15/ السيدان  shared or €35/vehicle private</t>
  </si>
  <si>
    <t>شروق، صباحًا، بعد الظهر، غروب</t>
  </si>
  <si>
    <t>Private transfer between your hotel and Sharm El Sheikh airport by car or minibus.</t>
  </si>
  <si>
    <t>Our driver collects you from your hotel reception and takes you directly to Sharm El Sheikh International Airport, or meets you on arrival. Private cars take up to 4 people with 3 suitcases; minibuses up to 8 guests.</t>
  </si>
  <si>
    <t>Private car or minibus
Professional driver
Luggage assistance</t>
  </si>
  <si>
    <t>Please send your flight details when booking.
Car: up to 4 people and 3 suitcases. Minibus: up to 8 guests.</t>
  </si>
  <si>
    <t>Your hotel reception, or the arrivals hall at Sharm El Sheikh airport.</t>
  </si>
  <si>
    <t>1) السعر في الكتالوج «15€ للسياره السيدان  / 35€ للعربيةهاي اس» بس النص بيوصف خدمة خاصة بس —20 للسياره العاليه 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</si>
</sst>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 €&quot;"/>
  </numFmts>
  <fonts count="10">
    <font>
      <sz val="11.0"/>
      <color theme="1"/>
      <name val="Calibri"/>
      <scheme val="minor"/>
    </font>
    <font>
      <b/>
      <sz val="14.0"/>
      <color rgb="FF0A2342"/>
      <name val="Arial"/>
    </font>
    <font>
      <b/>
      <sz val="12.0"/>
      <color theme="1"/>
      <name val="Arial"/>
    </font>
    <font>
      <sz val="11.0"/>
      <color rgb="FF000000"/>
      <name val="Arial"/>
    </font>
    <font>
      <b/>
      <sz val="11.0"/>
      <color rgb="FF0A2342"/>
      <name val="Arial"/>
    </font>
    <font>
      <b/>
      <sz val="11.0"/>
      <color rgb="FFFFFFFF"/>
      <name val="Arial"/>
    </font>
    <font>
      <sz val="11.0"/>
      <color theme="1"/>
      <name val="Arial"/>
    </font>
    <font>
      <sz val="12.0"/>
      <color theme="1"/>
      <name val="Arial"/>
    </font>
    <font>
      <b/>
      <sz val="10.0"/>
      <color theme="1"/>
      <name val="Arial"/>
    </font>
    <font>
      <sz val="10.0"/>
      <color theme="1"/>
      <name val="Arial"/>
    </font>
  </fonts>
  <fills count="7">
    <fill>
      <patternFill patternType="none"/>
    </fill>
    <fill>
      <patternFill patternType="lightGray"/>
    </fill>
    <fill>
      <patternFill patternType="solid">
        <fgColor rgb="FF0A2342"/>
        <bgColor rgb="FF0A2342"/>
      </patternFill>
    </fill>
    <fill>
      <patternFill patternType="solid">
        <fgColor rgb="FFFFF8DC"/>
        <bgColor rgb="FFFFF8DC"/>
      </patternFill>
    </fill>
    <fill>
      <patternFill patternType="solid">
        <fgColor rgb="FFE7E6E6"/>
        <bgColor rgb="FFE7E6E6"/>
      </patternFill>
    </fill>
    <fill>
      <patternFill patternType="solid">
        <fgColor rgb="FFFDE9E7"/>
        <bgColor rgb="FFFDE9E7"/>
      </patternFill>
    </fill>
    <fill>
      <patternFill patternType="solid">
        <fgColor rgb="FFE2F0D9"/>
        <bgColor rgb="FFE2F0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right" readingOrder="2" shrinkToFit="0" vertical="center" wrapText="1"/>
    </xf>
    <xf borderId="1" fillId="0" fontId="2" numFmtId="0" xfId="0" applyAlignment="1" applyBorder="1" applyFont="1">
      <alignment horizontal="right" readingOrder="2" shrinkToFit="0" vertical="bottom" wrapText="0"/>
    </xf>
    <xf borderId="0" fillId="0" fontId="3" numFmtId="0" xfId="0" applyAlignment="1" applyFont="1">
      <alignment horizontal="right" readingOrder="2" shrinkToFit="0" vertical="center" wrapText="1"/>
    </xf>
    <xf borderId="0" fillId="0" fontId="4" numFmtId="0" xfId="0" applyAlignment="1" applyFont="1">
      <alignment horizontal="right" readingOrder="2" shrinkToFit="0" vertical="center" wrapText="1"/>
    </xf>
    <xf borderId="1" fillId="2" fontId="5" numFmtId="0" xfId="0" applyAlignment="1" applyBorder="1" applyFill="1" applyFont="1">
      <alignment horizontal="center" readingOrder="2" shrinkToFit="0" vertical="center" wrapText="1"/>
    </xf>
    <xf borderId="0" fillId="0" fontId="4" numFmtId="0" xfId="0" applyAlignment="1" applyFont="1">
      <alignment readingOrder="0" shrinkToFit="0" vertical="bottom" wrapText="0"/>
    </xf>
    <xf borderId="1" fillId="3" fontId="6" numFmtId="0" xfId="0" applyAlignment="1" applyBorder="1" applyFill="1" applyFont="1">
      <alignment horizontal="right" readingOrder="2" shrinkToFit="0" vertical="bottom" wrapText="0"/>
    </xf>
    <xf borderId="1" fillId="0" fontId="7" numFmtId="0" xfId="0" applyAlignment="1" applyBorder="1" applyFont="1">
      <alignment horizontal="right" readingOrder="2" shrinkToFit="0" vertical="bottom" wrapText="0"/>
    </xf>
    <xf borderId="1" fillId="4" fontId="6" numFmtId="0" xfId="0" applyAlignment="1" applyBorder="1" applyFill="1" applyFont="1">
      <alignment horizontal="right" readingOrder="2" shrinkToFit="0" vertical="bottom" wrapText="0"/>
    </xf>
    <xf borderId="1" fillId="5" fontId="6" numFmtId="0" xfId="0" applyAlignment="1" applyBorder="1" applyFill="1" applyFont="1">
      <alignment horizontal="right" readingOrder="2" shrinkToFit="0" vertical="bottom" wrapText="0"/>
    </xf>
    <xf borderId="1" fillId="6" fontId="6" numFmtId="0" xfId="0" applyAlignment="1" applyBorder="1" applyFill="1" applyFont="1">
      <alignment horizontal="right" readingOrder="2" shrinkToFit="0" vertical="bottom" wrapText="0"/>
    </xf>
    <xf borderId="1" fillId="4" fontId="8" numFmtId="0" xfId="0" applyAlignment="1" applyBorder="1" applyFill="1" applyFont="1">
      <alignment horizontal="left" readingOrder="1" shrinkToFit="0" vertical="top" wrapText="1"/>
    </xf>
    <xf borderId="1" fillId="3" fontId="9" numFmtId="0" xfId="0" applyAlignment="1" applyBorder="1" applyFill="1" applyFont="1">
      <alignment horizontal="right" readingOrder="2" shrinkToFit="0" vertical="top" wrapText="1"/>
    </xf>
    <xf borderId="1" fillId="3" fontId="8" numFmtId="0" xfId="0" applyAlignment="1" applyBorder="1" applyFill="1" applyFont="1">
      <alignment horizontal="left" readingOrder="1" shrinkToFit="0" vertical="top" wrapText="1"/>
    </xf>
    <xf borderId="1" fillId="3" fontId="9" numFmtId="0" xfId="0" applyAlignment="1" applyBorder="1" applyFill="1" applyFont="1">
      <alignment horizontal="left" readingOrder="1" shrinkToFit="0" vertical="top" wrapText="1"/>
    </xf>
    <xf borderId="1" fillId="3" fontId="9" numFmtId="164" xfId="0" applyAlignment="1" applyBorder="1" applyFill="1" applyFont="1" applyNumberFormat="1">
      <alignment horizontal="left" readingOrder="1" shrinkToFit="0" vertical="top" wrapText="1"/>
    </xf>
    <xf borderId="1" fillId="5" fontId="9" numFmtId="0" xfId="0" applyAlignment="1" applyBorder="1" applyFill="1" applyFont="1">
      <alignment horizontal="right" readingOrder="2" shrinkToFit="0" vertical="top" wrapText="1"/>
    </xf>
    <xf borderId="1" fillId="6" fontId="9" numFmtId="0" xfId="0" applyAlignment="1" applyBorder="1" applyFill="1" applyFont="1">
      <alignment horizontal="right" readingOrder="2" shrinkToFit="0" vertical="top" wrapText="1"/>
    </xf>
    <xf borderId="1" fillId="3" fontId="8" numFmtId="0" xfId="0" applyAlignment="1" applyBorder="1" applyFill="1" applyFont="1">
      <alignment horizontal="left" readingOrder="1" shrinkToFit="0" vertical="top" wrapText="1"/>
    </xf>
    <xf borderId="1" fillId="3" fontId="9" numFmtId="0" xfId="0" applyAlignment="1" applyBorder="1" applyFill="1" applyFont="1">
      <alignment horizontal="right" readingOrder="2" shrinkToFit="0" vertical="top" wrapText="1"/>
    </xf>
    <xf borderId="1" fillId="5" fontId="9" numFmtId="0" xfId="0" applyAlignment="1" applyBorder="1" applyFill="1" applyFont="1">
      <alignment horizontal="right" readingOrder="2" shrinkToFit="0" vertical="top" wrapText="1"/>
    </xf>
    <xf borderId="1" fillId="3" fontId="9" numFmtId="0" xfId="0" applyAlignment="1" applyBorder="1" applyFill="1" applyFont="1">
      <alignment horizontal="left" readingOrder="1"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10.0"/>
    <col customWidth="1" min="2" max="26" width="8.57"/>
  </cols>
  <sheetData>
    <row r="1">
      <c r="A1" s="1" t="s">
        <v>0</v>
      </c>
    </row>
    <row r="2">
      <c r="A2" s="3"/>
    </row>
    <row r="3">
      <c r="A3" s="4" t="s">
        <v>2</v>
      </c>
    </row>
    <row r="4">
      <c r="A4" s="3" t="s">
        <v>3</v>
      </c>
    </row>
    <row r="5">
      <c r="A5" s="3" t="s">
        <v>4</v>
      </c>
    </row>
    <row r="6">
      <c r="A6" s="3" t="s">
        <v>5</v>
      </c>
    </row>
    <row r="7">
      <c r="A7" s="3" t="s">
        <v>6</v>
      </c>
    </row>
    <row r="8">
      <c r="A8" s="3" t="s">
        <v>7</v>
      </c>
    </row>
    <row r="9">
      <c r="A9" s="3" t="s">
        <v>8</v>
      </c>
    </row>
    <row r="10">
      <c r="A10" s="3" t="s">
        <v>9</v>
      </c>
    </row>
    <row r="11">
      <c r="A11" s="3" t="s">
        <v>10</v>
      </c>
    </row>
    <row r="12">
      <c r="A12" s="3"/>
    </row>
    <row r="13">
      <c r="A13" s="4" t="s">
        <v>12</v>
      </c>
    </row>
    <row r="14">
      <c r="A14" s="3" t="s">
        <v>13</v>
      </c>
    </row>
    <row r="15">
      <c r="A15" s="3" t="s">
        <v>14</v>
      </c>
    </row>
    <row r="16">
      <c r="A16" s="3" t="s">
        <v>15</v>
      </c>
    </row>
    <row r="17">
      <c r="A17" s="3" t="s">
        <v>16</v>
      </c>
    </row>
    <row r="18">
      <c r="A18" s="3"/>
    </row>
    <row r="19">
      <c r="A19" s="4" t="s">
        <v>17</v>
      </c>
    </row>
    <row r="21" ht="15.75" customHeight="1">
      <c r="A21" s="6" t="s">
        <v>18</v>
      </c>
    </row>
    <row r="22" ht="15.75" customHeight="1">
      <c r="A22" s="7" t="s">
        <v>20</v>
      </c>
    </row>
    <row r="23" ht="15.75" customHeight="1">
      <c r="A23" s="9" t="s">
        <v>24</v>
      </c>
    </row>
    <row r="24" ht="15.75" customHeight="1">
      <c r="A24" s="10" t="s">
        <v>29</v>
      </c>
    </row>
    <row r="25" ht="15.75" customHeight="1">
      <c r="A25" s="11" t="s">
        <v>32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0"/>
    <col customWidth="1" min="2" max="2" width="11.0"/>
    <col customWidth="1" min="3" max="3" width="28.0"/>
    <col customWidth="1" min="4" max="4" width="11.0"/>
    <col customWidth="1" min="5" max="5" width="12.0"/>
    <col customWidth="1" min="6" max="6" width="20.0"/>
    <col customWidth="1" min="7" max="8" width="11.0"/>
    <col customWidth="1" min="9" max="9" width="26.0"/>
    <col customWidth="1" min="10" max="10" width="20.0"/>
    <col customWidth="1" min="11" max="11" width="18.0"/>
    <col customWidth="1" min="12" max="12" width="12.0"/>
    <col customWidth="1" min="13" max="13" width="45.0"/>
    <col customWidth="1" min="14" max="14" width="70.0"/>
    <col customWidth="1" min="15" max="15" width="42.0"/>
    <col customWidth="1" min="16" max="16" width="34.0"/>
    <col customWidth="1" min="17" max="17" width="48.0"/>
    <col customWidth="1" min="18" max="18" width="34.0"/>
    <col customWidth="1" min="19" max="19" width="11.0"/>
    <col customWidth="1" min="20" max="20" width="9.0"/>
    <col customWidth="1" min="21" max="22" width="14.0"/>
    <col customWidth="1" min="23" max="23" width="60.0"/>
    <col customWidth="1" min="24" max="24" width="45.0"/>
    <col customWidth="1" min="25" max="25" width="12.0"/>
    <col customWidth="1" min="26" max="26" width="8.57"/>
  </cols>
  <sheetData>
    <row r="1" ht="45.75" customHeight="1">
      <c r="A1" s="5" t="s">
        <v>11</v>
      </c>
      <c r="B1" s="5" t="s">
        <v>19</v>
      </c>
      <c r="C1" s="5" t="s">
        <v>21</v>
      </c>
      <c r="D1" s="5" t="s">
        <v>22</v>
      </c>
      <c r="E1" s="5" t="s">
        <v>23</v>
      </c>
      <c r="F1" s="5" t="s">
        <v>25</v>
      </c>
      <c r="G1" s="5" t="s">
        <v>27</v>
      </c>
      <c r="H1" s="5" t="s">
        <v>28</v>
      </c>
      <c r="I1" s="5" t="s">
        <v>30</v>
      </c>
      <c r="J1" s="5" t="s">
        <v>31</v>
      </c>
      <c r="K1" s="5" t="s">
        <v>33</v>
      </c>
      <c r="L1" s="5" t="s">
        <v>34</v>
      </c>
      <c r="M1" s="5" t="s">
        <v>35</v>
      </c>
      <c r="N1" s="5" t="s">
        <v>37</v>
      </c>
      <c r="O1" s="5" t="s">
        <v>38</v>
      </c>
      <c r="P1" s="5" t="s">
        <v>39</v>
      </c>
      <c r="Q1" s="5" t="s">
        <v>40</v>
      </c>
      <c r="R1" s="5" t="s">
        <v>41</v>
      </c>
      <c r="S1" s="5" t="s">
        <v>42</v>
      </c>
      <c r="T1" s="5" t="s">
        <v>43</v>
      </c>
      <c r="U1" s="5" t="s">
        <v>45</v>
      </c>
      <c r="V1" s="5" t="s">
        <v>46</v>
      </c>
      <c r="W1" s="5" t="s">
        <v>47</v>
      </c>
      <c r="X1" s="5" t="s">
        <v>48</v>
      </c>
      <c r="Y1" s="5" t="s">
        <v>49</v>
      </c>
    </row>
    <row r="2" ht="189.75" customHeight="1">
      <c r="A2" s="12" t="s">
        <v>51</v>
      </c>
      <c r="B2" s="13" t="s">
        <v>53</v>
      </c>
      <c r="C2" s="14" t="s">
        <v>54</v>
      </c>
      <c r="D2" s="13" t="s">
        <v>55</v>
      </c>
      <c r="E2" s="13" t="s">
        <v>56</v>
      </c>
      <c r="F2" s="15" t="s">
        <v>57</v>
      </c>
      <c r="G2" s="16">
        <v>35.0</v>
      </c>
      <c r="H2" s="16"/>
      <c r="I2" s="15"/>
      <c r="J2" s="13" t="s">
        <v>58</v>
      </c>
      <c r="K2" s="13"/>
      <c r="L2" s="15">
        <v>20.0</v>
      </c>
      <c r="M2" s="15" t="s">
        <v>59</v>
      </c>
      <c r="N2" s="15" t="s">
        <v>60</v>
      </c>
      <c r="O2" s="15" t="s">
        <v>61</v>
      </c>
      <c r="P2" s="15"/>
      <c r="Q2" s="15" t="s">
        <v>62</v>
      </c>
      <c r="R2" s="15" t="s">
        <v>63</v>
      </c>
      <c r="S2" s="13" t="s">
        <v>53</v>
      </c>
      <c r="T2" s="15"/>
      <c r="U2" s="13" t="s">
        <v>64</v>
      </c>
      <c r="V2" s="15"/>
      <c r="W2" s="17" t="s">
        <v>65</v>
      </c>
      <c r="X2" s="18"/>
      <c r="Y2" s="18" t="s">
        <v>66</v>
      </c>
    </row>
    <row r="3" ht="189.75" customHeight="1">
      <c r="A3" s="12" t="s">
        <v>67</v>
      </c>
      <c r="B3" s="13" t="s">
        <v>53</v>
      </c>
      <c r="C3" s="19" t="s">
        <v>68</v>
      </c>
      <c r="D3" s="13" t="s">
        <v>55</v>
      </c>
      <c r="E3" s="13" t="s">
        <v>56</v>
      </c>
      <c r="F3" s="15" t="s">
        <v>69</v>
      </c>
      <c r="G3" s="16" t="s">
        <v>70</v>
      </c>
      <c r="H3" s="16"/>
      <c r="I3" s="15"/>
      <c r="J3" s="13" t="s">
        <v>71</v>
      </c>
      <c r="K3" s="13"/>
      <c r="L3" s="15">
        <v>15.0</v>
      </c>
      <c r="M3" s="15" t="s">
        <v>72</v>
      </c>
      <c r="N3" s="15" t="s">
        <v>73</v>
      </c>
      <c r="O3" s="15" t="s">
        <v>74</v>
      </c>
      <c r="P3" s="15"/>
      <c r="Q3" s="15" t="s">
        <v>62</v>
      </c>
      <c r="R3" s="15" t="s">
        <v>63</v>
      </c>
      <c r="S3" s="13" t="s">
        <v>53</v>
      </c>
      <c r="T3" s="15"/>
      <c r="U3" s="13" t="s">
        <v>64</v>
      </c>
      <c r="V3" s="15"/>
      <c r="W3" s="17" t="s">
        <v>75</v>
      </c>
      <c r="X3" s="18"/>
      <c r="Y3" s="18" t="s">
        <v>66</v>
      </c>
    </row>
    <row r="4" ht="189.75" customHeight="1">
      <c r="A4" s="12" t="s">
        <v>76</v>
      </c>
      <c r="B4" s="13" t="s">
        <v>53</v>
      </c>
      <c r="C4" s="14" t="s">
        <v>77</v>
      </c>
      <c r="D4" s="13" t="s">
        <v>55</v>
      </c>
      <c r="E4" s="13" t="s">
        <v>56</v>
      </c>
      <c r="F4" s="15" t="s">
        <v>69</v>
      </c>
      <c r="G4" s="16" t="s">
        <v>78</v>
      </c>
      <c r="H4" s="16"/>
      <c r="I4" s="15" t="s">
        <v>79</v>
      </c>
      <c r="J4" s="20" t="s">
        <v>80</v>
      </c>
      <c r="K4" s="13"/>
      <c r="L4" s="15">
        <v>10.0</v>
      </c>
      <c r="M4" s="15" t="s">
        <v>81</v>
      </c>
      <c r="N4" s="15" t="s">
        <v>82</v>
      </c>
      <c r="O4" s="15" t="s">
        <v>83</v>
      </c>
      <c r="P4" s="15"/>
      <c r="Q4" s="15" t="s">
        <v>84</v>
      </c>
      <c r="R4" s="15" t="s">
        <v>63</v>
      </c>
      <c r="S4" s="13" t="s">
        <v>53</v>
      </c>
      <c r="T4" s="15"/>
      <c r="U4" s="13" t="s">
        <v>64</v>
      </c>
      <c r="V4" s="15"/>
      <c r="W4" s="21"/>
      <c r="X4" s="18"/>
      <c r="Y4" s="18" t="s">
        <v>66</v>
      </c>
    </row>
    <row r="5" ht="189.75" customHeight="1">
      <c r="A5" s="12" t="s">
        <v>85</v>
      </c>
      <c r="B5" s="13" t="s">
        <v>53</v>
      </c>
      <c r="C5" s="14" t="s">
        <v>86</v>
      </c>
      <c r="D5" s="13" t="s">
        <v>55</v>
      </c>
      <c r="E5" s="13" t="s">
        <v>56</v>
      </c>
      <c r="F5" s="15" t="s">
        <v>87</v>
      </c>
      <c r="G5" s="16" t="s">
        <v>88</v>
      </c>
      <c r="H5" s="16"/>
      <c r="I5" s="15"/>
      <c r="J5" s="13" t="s">
        <v>71</v>
      </c>
      <c r="K5" s="13"/>
      <c r="L5" s="15">
        <v>25.0</v>
      </c>
      <c r="M5" s="15" t="s">
        <v>89</v>
      </c>
      <c r="N5" s="15" t="s">
        <v>90</v>
      </c>
      <c r="O5" s="15" t="s">
        <v>91</v>
      </c>
      <c r="P5" s="15"/>
      <c r="Q5" s="15" t="s">
        <v>92</v>
      </c>
      <c r="R5" s="15" t="s">
        <v>63</v>
      </c>
      <c r="S5" s="13" t="s">
        <v>53</v>
      </c>
      <c r="T5" s="15"/>
      <c r="U5" s="13" t="s">
        <v>64</v>
      </c>
      <c r="V5" s="15"/>
      <c r="W5" s="21" t="s">
        <v>93</v>
      </c>
      <c r="X5" s="18"/>
      <c r="Y5" s="18" t="s">
        <v>66</v>
      </c>
    </row>
    <row r="6" ht="189.75" customHeight="1">
      <c r="A6" s="12" t="s">
        <v>94</v>
      </c>
      <c r="B6" s="13" t="s">
        <v>53</v>
      </c>
      <c r="C6" s="14" t="s">
        <v>95</v>
      </c>
      <c r="D6" s="13" t="s">
        <v>96</v>
      </c>
      <c r="E6" s="13" t="s">
        <v>56</v>
      </c>
      <c r="F6" s="15" t="s">
        <v>97</v>
      </c>
      <c r="G6" s="16">
        <v>35.0</v>
      </c>
      <c r="H6" s="16"/>
      <c r="I6" s="15"/>
      <c r="J6" s="13" t="s">
        <v>98</v>
      </c>
      <c r="K6" s="13"/>
      <c r="L6" s="15">
        <v>20.0</v>
      </c>
      <c r="M6" s="15" t="s">
        <v>99</v>
      </c>
      <c r="N6" s="15" t="s">
        <v>100</v>
      </c>
      <c r="O6" s="15" t="s">
        <v>101</v>
      </c>
      <c r="P6" s="15"/>
      <c r="Q6" s="15" t="s">
        <v>102</v>
      </c>
      <c r="R6" s="15" t="s">
        <v>63</v>
      </c>
      <c r="S6" s="13"/>
      <c r="T6" s="15"/>
      <c r="U6" s="13" t="s">
        <v>64</v>
      </c>
      <c r="V6" s="15"/>
      <c r="W6" s="21" t="s">
        <v>103</v>
      </c>
      <c r="X6" s="18"/>
      <c r="Y6" s="18" t="s">
        <v>66</v>
      </c>
    </row>
    <row r="7" ht="189.75" customHeight="1">
      <c r="A7" s="12" t="s">
        <v>104</v>
      </c>
      <c r="B7" s="13" t="s">
        <v>53</v>
      </c>
      <c r="C7" s="14" t="s">
        <v>105</v>
      </c>
      <c r="D7" s="13" t="s">
        <v>55</v>
      </c>
      <c r="E7" s="13" t="s">
        <v>56</v>
      </c>
      <c r="F7" s="15" t="s">
        <v>106</v>
      </c>
      <c r="G7" s="16">
        <v>25.0</v>
      </c>
      <c r="H7" s="16"/>
      <c r="I7" s="15"/>
      <c r="J7" s="13" t="s">
        <v>107</v>
      </c>
      <c r="K7" s="13"/>
      <c r="L7" s="15">
        <v>20.0</v>
      </c>
      <c r="M7" s="15" t="s">
        <v>108</v>
      </c>
      <c r="N7" s="15" t="s">
        <v>109</v>
      </c>
      <c r="O7" s="15" t="s">
        <v>110</v>
      </c>
      <c r="P7" s="15"/>
      <c r="Q7" s="15" t="s">
        <v>111</v>
      </c>
      <c r="R7" s="15" t="s">
        <v>63</v>
      </c>
      <c r="S7" s="13" t="s">
        <v>53</v>
      </c>
      <c r="T7" s="15"/>
      <c r="U7" s="13" t="s">
        <v>64</v>
      </c>
      <c r="V7" s="15"/>
      <c r="W7" s="17" t="s">
        <v>112</v>
      </c>
      <c r="X7" s="18"/>
      <c r="Y7" s="18" t="s">
        <v>66</v>
      </c>
    </row>
    <row r="8" ht="189.75" customHeight="1">
      <c r="A8" s="12" t="s">
        <v>113</v>
      </c>
      <c r="B8" s="13" t="s">
        <v>53</v>
      </c>
      <c r="C8" s="14" t="s">
        <v>114</v>
      </c>
      <c r="D8" s="13" t="s">
        <v>115</v>
      </c>
      <c r="E8" s="13" t="s">
        <v>56</v>
      </c>
      <c r="F8" s="15" t="s">
        <v>116</v>
      </c>
      <c r="G8" s="16" t="s">
        <v>117</v>
      </c>
      <c r="H8" s="16"/>
      <c r="I8" s="15"/>
      <c r="J8" s="13" t="s">
        <v>98</v>
      </c>
      <c r="K8" s="13"/>
      <c r="L8" s="15">
        <v>30.0</v>
      </c>
      <c r="M8" s="15" t="s">
        <v>118</v>
      </c>
      <c r="N8" s="15" t="s">
        <v>119</v>
      </c>
      <c r="O8" s="15" t="s">
        <v>120</v>
      </c>
      <c r="P8" s="15" t="s">
        <v>121</v>
      </c>
      <c r="Q8" s="15" t="s">
        <v>122</v>
      </c>
      <c r="R8" s="15" t="s">
        <v>63</v>
      </c>
      <c r="S8" s="13"/>
      <c r="T8" s="15"/>
      <c r="U8" s="13" t="s">
        <v>64</v>
      </c>
      <c r="V8" s="15"/>
      <c r="W8" s="21" t="s">
        <v>123</v>
      </c>
      <c r="X8" s="18"/>
      <c r="Y8" s="18" t="s">
        <v>66</v>
      </c>
    </row>
    <row r="9" ht="189.75" customHeight="1">
      <c r="A9" s="12" t="s">
        <v>124</v>
      </c>
      <c r="B9" s="13" t="s">
        <v>53</v>
      </c>
      <c r="C9" s="14" t="s">
        <v>125</v>
      </c>
      <c r="D9" s="13" t="s">
        <v>115</v>
      </c>
      <c r="E9" s="13" t="s">
        <v>56</v>
      </c>
      <c r="F9" s="15" t="s">
        <v>126</v>
      </c>
      <c r="G9" s="16" t="s">
        <v>88</v>
      </c>
      <c r="H9" s="16"/>
      <c r="I9" s="15"/>
      <c r="J9" s="13" t="s">
        <v>71</v>
      </c>
      <c r="K9" s="13"/>
      <c r="L9" s="15">
        <v>40.0</v>
      </c>
      <c r="M9" s="15" t="s">
        <v>127</v>
      </c>
      <c r="N9" s="15" t="s">
        <v>128</v>
      </c>
      <c r="O9" s="15" t="s">
        <v>129</v>
      </c>
      <c r="P9" s="15"/>
      <c r="Q9" s="15" t="s">
        <v>130</v>
      </c>
      <c r="R9" s="15" t="s">
        <v>63</v>
      </c>
      <c r="S9" s="13"/>
      <c r="T9" s="15"/>
      <c r="U9" s="13" t="s">
        <v>64</v>
      </c>
      <c r="V9" s="15"/>
      <c r="W9" s="21" t="s">
        <v>131</v>
      </c>
      <c r="X9" s="18"/>
      <c r="Y9" s="18" t="s">
        <v>66</v>
      </c>
    </row>
    <row r="10" ht="189.75" customHeight="1">
      <c r="A10" s="12" t="s">
        <v>132</v>
      </c>
      <c r="B10" s="13" t="s">
        <v>53</v>
      </c>
      <c r="C10" s="14" t="s">
        <v>133</v>
      </c>
      <c r="D10" s="13" t="s">
        <v>115</v>
      </c>
      <c r="E10" s="13" t="s">
        <v>56</v>
      </c>
      <c r="F10" s="15" t="s">
        <v>134</v>
      </c>
      <c r="G10" s="16" t="s">
        <v>135</v>
      </c>
      <c r="H10" s="16"/>
      <c r="I10" s="15"/>
      <c r="J10" s="13" t="s">
        <v>136</v>
      </c>
      <c r="K10" s="13"/>
      <c r="L10" s="15">
        <v>30.0</v>
      </c>
      <c r="M10" s="15" t="s">
        <v>137</v>
      </c>
      <c r="N10" s="15" t="s">
        <v>138</v>
      </c>
      <c r="O10" s="15" t="s">
        <v>139</v>
      </c>
      <c r="P10" s="15"/>
      <c r="Q10" s="15" t="s">
        <v>140</v>
      </c>
      <c r="R10" s="15" t="s">
        <v>63</v>
      </c>
      <c r="S10" s="13" t="s">
        <v>53</v>
      </c>
      <c r="T10" s="15"/>
      <c r="U10" s="13" t="s">
        <v>64</v>
      </c>
      <c r="V10" s="15"/>
      <c r="W10" s="21" t="s">
        <v>141</v>
      </c>
      <c r="X10" s="18"/>
      <c r="Y10" s="18" t="s">
        <v>66</v>
      </c>
    </row>
    <row r="11" ht="189.75" customHeight="1">
      <c r="A11" s="12" t="s">
        <v>142</v>
      </c>
      <c r="B11" s="13" t="s">
        <v>53</v>
      </c>
      <c r="C11" s="14" t="s">
        <v>143</v>
      </c>
      <c r="D11" s="13" t="s">
        <v>115</v>
      </c>
      <c r="E11" s="13" t="s">
        <v>56</v>
      </c>
      <c r="F11" s="15" t="s">
        <v>144</v>
      </c>
      <c r="G11" s="16">
        <v>400.0</v>
      </c>
      <c r="H11" s="16"/>
      <c r="I11" s="15"/>
      <c r="J11" s="13" t="s">
        <v>98</v>
      </c>
      <c r="K11" s="13"/>
      <c r="L11" s="15">
        <v>8.0</v>
      </c>
      <c r="M11" s="15" t="s">
        <v>145</v>
      </c>
      <c r="N11" s="15" t="s">
        <v>146</v>
      </c>
      <c r="O11" s="15" t="s">
        <v>147</v>
      </c>
      <c r="P11" s="15"/>
      <c r="Q11" s="15" t="s">
        <v>148</v>
      </c>
      <c r="R11" s="15" t="s">
        <v>149</v>
      </c>
      <c r="S11" s="13"/>
      <c r="T11" s="15"/>
      <c r="U11" s="13"/>
      <c r="V11" s="15"/>
      <c r="W11" s="21" t="s">
        <v>150</v>
      </c>
      <c r="X11" s="18"/>
      <c r="Y11" s="18" t="s">
        <v>66</v>
      </c>
    </row>
    <row r="12" ht="189.75" customHeight="1">
      <c r="A12" s="12" t="s">
        <v>151</v>
      </c>
      <c r="B12" s="13" t="s">
        <v>53</v>
      </c>
      <c r="C12" s="14" t="s">
        <v>152</v>
      </c>
      <c r="D12" s="13" t="s">
        <v>115</v>
      </c>
      <c r="E12" s="20" t="s">
        <v>153</v>
      </c>
      <c r="F12" s="15" t="s">
        <v>154</v>
      </c>
      <c r="G12" s="16" t="s">
        <v>155</v>
      </c>
      <c r="H12" s="16"/>
      <c r="I12" s="15"/>
      <c r="J12" s="13" t="s">
        <v>136</v>
      </c>
      <c r="K12" s="13"/>
      <c r="L12" s="15">
        <v>10.0</v>
      </c>
      <c r="M12" s="15" t="s">
        <v>156</v>
      </c>
      <c r="N12" s="15" t="s">
        <v>157</v>
      </c>
      <c r="O12" s="15" t="s">
        <v>158</v>
      </c>
      <c r="P12" s="15"/>
      <c r="Q12" s="15" t="s">
        <v>159</v>
      </c>
      <c r="R12" s="15" t="s">
        <v>149</v>
      </c>
      <c r="S12" s="13"/>
      <c r="T12" s="15"/>
      <c r="U12" s="13"/>
      <c r="V12" s="15"/>
      <c r="W12" s="21" t="s">
        <v>160</v>
      </c>
      <c r="X12" s="18"/>
      <c r="Y12" s="18" t="s">
        <v>66</v>
      </c>
    </row>
    <row r="13" ht="189.75" customHeight="1">
      <c r="A13" s="12" t="s">
        <v>161</v>
      </c>
      <c r="B13" s="13" t="s">
        <v>162</v>
      </c>
      <c r="C13" s="14" t="s">
        <v>163</v>
      </c>
      <c r="D13" s="13" t="s">
        <v>115</v>
      </c>
      <c r="E13" s="13" t="s">
        <v>153</v>
      </c>
      <c r="F13" s="15" t="s">
        <v>164</v>
      </c>
      <c r="G13" s="16"/>
      <c r="H13" s="16"/>
      <c r="I13" s="15" t="s">
        <v>165</v>
      </c>
      <c r="J13" s="13" t="s">
        <v>98</v>
      </c>
      <c r="K13" s="13"/>
      <c r="L13" s="15">
        <v>20.0</v>
      </c>
      <c r="M13" s="15" t="s">
        <v>166</v>
      </c>
      <c r="N13" s="15" t="s">
        <v>167</v>
      </c>
      <c r="O13" s="15" t="s">
        <v>168</v>
      </c>
      <c r="P13" s="15"/>
      <c r="Q13" s="15" t="s">
        <v>169</v>
      </c>
      <c r="R13" s="15" t="s">
        <v>63</v>
      </c>
      <c r="S13" s="13"/>
      <c r="T13" s="15"/>
      <c r="U13" s="13" t="s">
        <v>64</v>
      </c>
      <c r="V13" s="15"/>
      <c r="W13" s="21" t="s">
        <v>170</v>
      </c>
      <c r="X13" s="18"/>
      <c r="Y13" s="18" t="s">
        <v>66</v>
      </c>
    </row>
    <row r="14" ht="189.75" customHeight="1">
      <c r="A14" s="12" t="s">
        <v>171</v>
      </c>
      <c r="B14" s="13" t="s">
        <v>53</v>
      </c>
      <c r="C14" s="14" t="s">
        <v>172</v>
      </c>
      <c r="D14" s="13" t="s">
        <v>115</v>
      </c>
      <c r="E14" s="13" t="s">
        <v>56</v>
      </c>
      <c r="F14" s="15" t="s">
        <v>173</v>
      </c>
      <c r="G14" s="16">
        <v>65.0</v>
      </c>
      <c r="H14" s="16"/>
      <c r="I14" s="15"/>
      <c r="J14" s="13" t="s">
        <v>98</v>
      </c>
      <c r="K14" s="13"/>
      <c r="L14" s="15">
        <v>25.0</v>
      </c>
      <c r="M14" s="15" t="s">
        <v>174</v>
      </c>
      <c r="N14" s="15" t="s">
        <v>175</v>
      </c>
      <c r="O14" s="15" t="s">
        <v>176</v>
      </c>
      <c r="P14" s="15"/>
      <c r="Q14" s="15" t="s">
        <v>177</v>
      </c>
      <c r="R14" s="15" t="s">
        <v>63</v>
      </c>
      <c r="S14" s="13" t="s">
        <v>53</v>
      </c>
      <c r="T14" s="15"/>
      <c r="U14" s="13" t="s">
        <v>64</v>
      </c>
      <c r="V14" s="15"/>
      <c r="W14" s="21" t="s">
        <v>178</v>
      </c>
      <c r="X14" s="18"/>
      <c r="Y14" s="18" t="s">
        <v>66</v>
      </c>
    </row>
    <row r="15" ht="189.75" customHeight="1">
      <c r="A15" s="12" t="s">
        <v>179</v>
      </c>
      <c r="B15" s="13" t="s">
        <v>53</v>
      </c>
      <c r="C15" s="14" t="s">
        <v>180</v>
      </c>
      <c r="D15" s="13" t="s">
        <v>115</v>
      </c>
      <c r="E15" s="13" t="s">
        <v>56</v>
      </c>
      <c r="F15" s="15" t="s">
        <v>181</v>
      </c>
      <c r="G15" s="16">
        <v>30.0</v>
      </c>
      <c r="H15" s="16"/>
      <c r="I15" s="15"/>
      <c r="J15" s="13" t="s">
        <v>98</v>
      </c>
      <c r="K15" s="13"/>
      <c r="L15" s="15">
        <v>30.0</v>
      </c>
      <c r="M15" s="15" t="s">
        <v>182</v>
      </c>
      <c r="N15" s="15" t="s">
        <v>183</v>
      </c>
      <c r="O15" s="15" t="s">
        <v>184</v>
      </c>
      <c r="P15" s="15" t="s">
        <v>185</v>
      </c>
      <c r="Q15" s="15" t="s">
        <v>186</v>
      </c>
      <c r="R15" s="15" t="s">
        <v>63</v>
      </c>
      <c r="S15" s="13" t="s">
        <v>53</v>
      </c>
      <c r="T15" s="15"/>
      <c r="U15" s="13" t="s">
        <v>64</v>
      </c>
      <c r="V15" s="15"/>
      <c r="W15" s="21"/>
      <c r="X15" s="18"/>
      <c r="Y15" s="18" t="s">
        <v>66</v>
      </c>
    </row>
    <row r="16" ht="189.75" customHeight="1">
      <c r="A16" s="12" t="s">
        <v>187</v>
      </c>
      <c r="B16" s="13" t="s">
        <v>53</v>
      </c>
      <c r="C16" s="14" t="s">
        <v>188</v>
      </c>
      <c r="D16" s="13" t="s">
        <v>115</v>
      </c>
      <c r="E16" s="13" t="s">
        <v>56</v>
      </c>
      <c r="F16" s="15" t="s">
        <v>189</v>
      </c>
      <c r="G16" s="16">
        <v>25.0</v>
      </c>
      <c r="H16" s="16"/>
      <c r="I16" s="15"/>
      <c r="J16" s="13" t="s">
        <v>136</v>
      </c>
      <c r="K16" s="13"/>
      <c r="L16" s="15">
        <v>8.0</v>
      </c>
      <c r="M16" s="15" t="s">
        <v>190</v>
      </c>
      <c r="N16" s="15" t="s">
        <v>191</v>
      </c>
      <c r="O16" s="15" t="s">
        <v>192</v>
      </c>
      <c r="P16" s="15"/>
      <c r="Q16" s="15" t="s">
        <v>193</v>
      </c>
      <c r="R16" s="15" t="s">
        <v>63</v>
      </c>
      <c r="S16" s="13"/>
      <c r="T16" s="15">
        <v>10.0</v>
      </c>
      <c r="U16" s="13" t="s">
        <v>64</v>
      </c>
      <c r="V16" s="15"/>
      <c r="W16" s="17" t="s">
        <v>194</v>
      </c>
      <c r="X16" s="18"/>
      <c r="Y16" s="18" t="s">
        <v>66</v>
      </c>
    </row>
    <row r="17" ht="189.75" customHeight="1">
      <c r="A17" s="12" t="s">
        <v>195</v>
      </c>
      <c r="B17" s="13" t="s">
        <v>53</v>
      </c>
      <c r="C17" s="14" t="s">
        <v>196</v>
      </c>
      <c r="D17" s="13" t="s">
        <v>115</v>
      </c>
      <c r="E17" s="13" t="s">
        <v>56</v>
      </c>
      <c r="F17" s="15" t="s">
        <v>197</v>
      </c>
      <c r="G17" s="16">
        <v>25.0</v>
      </c>
      <c r="H17" s="16"/>
      <c r="I17" s="15"/>
      <c r="J17" s="13" t="s">
        <v>136</v>
      </c>
      <c r="K17" s="13"/>
      <c r="L17" s="15">
        <v>2.0</v>
      </c>
      <c r="M17" s="15" t="s">
        <v>198</v>
      </c>
      <c r="N17" s="15" t="s">
        <v>199</v>
      </c>
      <c r="O17" s="15" t="s">
        <v>200</v>
      </c>
      <c r="P17" s="15"/>
      <c r="Q17" s="15" t="s">
        <v>201</v>
      </c>
      <c r="R17" s="15" t="s">
        <v>63</v>
      </c>
      <c r="S17" s="13"/>
      <c r="T17" s="15">
        <v>10.0</v>
      </c>
      <c r="U17" s="13" t="s">
        <v>64</v>
      </c>
      <c r="V17" s="15"/>
      <c r="W17" s="21"/>
      <c r="X17" s="18"/>
      <c r="Y17" s="18" t="s">
        <v>66</v>
      </c>
    </row>
    <row r="18" ht="189.75" customHeight="1">
      <c r="A18" s="12" t="s">
        <v>202</v>
      </c>
      <c r="B18" s="13" t="s">
        <v>53</v>
      </c>
      <c r="C18" s="14" t="s">
        <v>203</v>
      </c>
      <c r="D18" s="13" t="s">
        <v>115</v>
      </c>
      <c r="E18" s="13" t="s">
        <v>56</v>
      </c>
      <c r="F18" s="15" t="s">
        <v>204</v>
      </c>
      <c r="G18" s="16">
        <v>150.0</v>
      </c>
      <c r="H18" s="16"/>
      <c r="I18" s="15" t="s">
        <v>205</v>
      </c>
      <c r="J18" s="13" t="s">
        <v>136</v>
      </c>
      <c r="K18" s="13"/>
      <c r="L18" s="22">
        <v>5.0</v>
      </c>
      <c r="M18" s="15" t="s">
        <v>206</v>
      </c>
      <c r="N18" s="15" t="s">
        <v>207</v>
      </c>
      <c r="O18" s="15" t="s">
        <v>208</v>
      </c>
      <c r="P18" s="15" t="s">
        <v>209</v>
      </c>
      <c r="Q18" s="15" t="s">
        <v>210</v>
      </c>
      <c r="R18" s="15" t="s">
        <v>63</v>
      </c>
      <c r="S18" s="13"/>
      <c r="T18" s="15"/>
      <c r="U18" s="13" t="s">
        <v>64</v>
      </c>
      <c r="V18" s="15"/>
      <c r="W18" s="21" t="s">
        <v>211</v>
      </c>
      <c r="X18" s="18"/>
      <c r="Y18" s="18" t="s">
        <v>66</v>
      </c>
    </row>
    <row r="19" ht="189.75" customHeight="1">
      <c r="A19" s="12" t="s">
        <v>212</v>
      </c>
      <c r="B19" s="13" t="s">
        <v>53</v>
      </c>
      <c r="C19" s="14" t="s">
        <v>213</v>
      </c>
      <c r="D19" s="13" t="s">
        <v>115</v>
      </c>
      <c r="E19" s="13" t="s">
        <v>56</v>
      </c>
      <c r="F19" s="15" t="s">
        <v>214</v>
      </c>
      <c r="G19" s="16">
        <v>35.0</v>
      </c>
      <c r="H19" s="16"/>
      <c r="I19" s="15"/>
      <c r="J19" s="13" t="s">
        <v>136</v>
      </c>
      <c r="K19" s="13"/>
      <c r="L19" s="15">
        <v>30.0</v>
      </c>
      <c r="M19" s="15" t="s">
        <v>215</v>
      </c>
      <c r="N19" s="15" t="s">
        <v>216</v>
      </c>
      <c r="O19" s="15" t="s">
        <v>217</v>
      </c>
      <c r="P19" s="15"/>
      <c r="Q19" s="15" t="s">
        <v>218</v>
      </c>
      <c r="R19" s="15" t="s">
        <v>63</v>
      </c>
      <c r="S19" s="13" t="s">
        <v>53</v>
      </c>
      <c r="T19" s="15"/>
      <c r="U19" s="13" t="s">
        <v>64</v>
      </c>
      <c r="V19" s="15"/>
      <c r="W19" s="21"/>
      <c r="X19" s="18"/>
      <c r="Y19" s="18" t="s">
        <v>66</v>
      </c>
    </row>
    <row r="20" ht="189.75" customHeight="1">
      <c r="A20" s="12" t="s">
        <v>219</v>
      </c>
      <c r="B20" s="13" t="s">
        <v>53</v>
      </c>
      <c r="C20" s="14" t="s">
        <v>220</v>
      </c>
      <c r="D20" s="13" t="s">
        <v>115</v>
      </c>
      <c r="E20" s="13" t="s">
        <v>56</v>
      </c>
      <c r="F20" s="15" t="s">
        <v>116</v>
      </c>
      <c r="G20" s="16">
        <v>45.0</v>
      </c>
      <c r="H20" s="16"/>
      <c r="I20" s="15"/>
      <c r="J20" s="13" t="s">
        <v>98</v>
      </c>
      <c r="K20" s="13"/>
      <c r="L20" s="15">
        <v>30.0</v>
      </c>
      <c r="M20" s="15" t="s">
        <v>221</v>
      </c>
      <c r="N20" s="15" t="s">
        <v>222</v>
      </c>
      <c r="O20" s="15" t="s">
        <v>223</v>
      </c>
      <c r="P20" s="15" t="s">
        <v>224</v>
      </c>
      <c r="Q20" s="15" t="s">
        <v>225</v>
      </c>
      <c r="R20" s="15" t="s">
        <v>63</v>
      </c>
      <c r="S20" s="13" t="s">
        <v>53</v>
      </c>
      <c r="T20" s="15"/>
      <c r="U20" s="13" t="s">
        <v>64</v>
      </c>
      <c r="V20" s="15"/>
      <c r="W20" s="17" t="s">
        <v>226</v>
      </c>
      <c r="X20" s="18"/>
      <c r="Y20" s="18" t="s">
        <v>66</v>
      </c>
    </row>
    <row r="21" ht="189.75" customHeight="1">
      <c r="A21" s="12" t="s">
        <v>227</v>
      </c>
      <c r="B21" s="13" t="s">
        <v>53</v>
      </c>
      <c r="C21" s="14" t="s">
        <v>228</v>
      </c>
      <c r="D21" s="13" t="s">
        <v>115</v>
      </c>
      <c r="E21" s="13" t="s">
        <v>56</v>
      </c>
      <c r="F21" s="15" t="s">
        <v>189</v>
      </c>
      <c r="G21" s="16">
        <v>25.0</v>
      </c>
      <c r="H21" s="16"/>
      <c r="I21" s="15"/>
      <c r="J21" s="13" t="s">
        <v>136</v>
      </c>
      <c r="K21" s="13"/>
      <c r="L21" s="15">
        <v>4.0</v>
      </c>
      <c r="M21" s="15" t="s">
        <v>229</v>
      </c>
      <c r="N21" s="15" t="s">
        <v>230</v>
      </c>
      <c r="O21" s="15" t="s">
        <v>231</v>
      </c>
      <c r="P21" s="15"/>
      <c r="Q21" s="15" t="s">
        <v>193</v>
      </c>
      <c r="R21" s="15" t="s">
        <v>63</v>
      </c>
      <c r="S21" s="13"/>
      <c r="T21" s="15">
        <v>10.0</v>
      </c>
      <c r="U21" s="13" t="s">
        <v>64</v>
      </c>
      <c r="V21" s="15"/>
      <c r="W21" s="21"/>
      <c r="X21" s="18"/>
      <c r="Y21" s="18" t="s">
        <v>66</v>
      </c>
    </row>
    <row r="22" ht="189.75" customHeight="1">
      <c r="A22" s="12" t="s">
        <v>232</v>
      </c>
      <c r="B22" s="13" t="s">
        <v>53</v>
      </c>
      <c r="C22" s="14" t="s">
        <v>233</v>
      </c>
      <c r="D22" s="13" t="s">
        <v>96</v>
      </c>
      <c r="E22" s="13" t="s">
        <v>56</v>
      </c>
      <c r="F22" s="15" t="s">
        <v>234</v>
      </c>
      <c r="G22" s="16">
        <v>75.0</v>
      </c>
      <c r="H22" s="16"/>
      <c r="I22" s="15"/>
      <c r="J22" s="13" t="s">
        <v>98</v>
      </c>
      <c r="K22" s="13"/>
      <c r="L22" s="15">
        <v>30.0</v>
      </c>
      <c r="M22" s="15" t="s">
        <v>235</v>
      </c>
      <c r="N22" s="15" t="s">
        <v>236</v>
      </c>
      <c r="O22" s="15" t="s">
        <v>237</v>
      </c>
      <c r="P22" s="15"/>
      <c r="Q22" s="15" t="s">
        <v>238</v>
      </c>
      <c r="R22" s="15" t="s">
        <v>63</v>
      </c>
      <c r="S22" s="13"/>
      <c r="T22" s="15"/>
      <c r="U22" s="13" t="s">
        <v>64</v>
      </c>
      <c r="V22" s="15"/>
      <c r="W22" s="21" t="s">
        <v>239</v>
      </c>
      <c r="X22" s="18"/>
      <c r="Y22" s="18" t="s">
        <v>66</v>
      </c>
    </row>
    <row r="23" ht="189.75" customHeight="1">
      <c r="A23" s="12" t="s">
        <v>240</v>
      </c>
      <c r="B23" s="13" t="s">
        <v>53</v>
      </c>
      <c r="C23" s="14" t="s">
        <v>241</v>
      </c>
      <c r="D23" s="13" t="s">
        <v>96</v>
      </c>
      <c r="E23" s="13" t="s">
        <v>56</v>
      </c>
      <c r="F23" s="15" t="s">
        <v>234</v>
      </c>
      <c r="G23" s="16">
        <v>280.0</v>
      </c>
      <c r="H23" s="16"/>
      <c r="I23" s="15"/>
      <c r="J23" s="13" t="s">
        <v>98</v>
      </c>
      <c r="K23" s="13"/>
      <c r="L23" s="15">
        <v>20.0</v>
      </c>
      <c r="M23" s="15" t="s">
        <v>242</v>
      </c>
      <c r="N23" s="15" t="s">
        <v>243</v>
      </c>
      <c r="O23" s="15" t="s">
        <v>244</v>
      </c>
      <c r="P23" s="15" t="s">
        <v>245</v>
      </c>
      <c r="Q23" s="15" t="s">
        <v>246</v>
      </c>
      <c r="R23" s="15" t="s">
        <v>63</v>
      </c>
      <c r="S23" s="13"/>
      <c r="T23" s="15"/>
      <c r="U23" s="13" t="s">
        <v>64</v>
      </c>
      <c r="V23" s="15" t="s">
        <v>247</v>
      </c>
      <c r="W23" s="21" t="s">
        <v>248</v>
      </c>
      <c r="X23" s="18"/>
      <c r="Y23" s="18" t="s">
        <v>66</v>
      </c>
    </row>
    <row r="24" ht="189.75" customHeight="1">
      <c r="A24" s="12" t="s">
        <v>249</v>
      </c>
      <c r="B24" s="13" t="s">
        <v>53</v>
      </c>
      <c r="C24" s="14" t="s">
        <v>250</v>
      </c>
      <c r="D24" s="13" t="s">
        <v>96</v>
      </c>
      <c r="E24" s="13" t="s">
        <v>56</v>
      </c>
      <c r="F24" s="15" t="s">
        <v>251</v>
      </c>
      <c r="G24" s="16" t="s">
        <v>117</v>
      </c>
      <c r="H24" s="16"/>
      <c r="I24" s="15"/>
      <c r="J24" s="13" t="s">
        <v>98</v>
      </c>
      <c r="K24" s="13"/>
      <c r="L24" s="15">
        <v>25.0</v>
      </c>
      <c r="M24" s="15" t="s">
        <v>252</v>
      </c>
      <c r="N24" s="15" t="s">
        <v>253</v>
      </c>
      <c r="O24" s="15" t="s">
        <v>254</v>
      </c>
      <c r="P24" s="15"/>
      <c r="Q24" s="15" t="s">
        <v>255</v>
      </c>
      <c r="R24" s="15" t="s">
        <v>63</v>
      </c>
      <c r="S24" s="13" t="s">
        <v>162</v>
      </c>
      <c r="T24" s="15"/>
      <c r="U24" s="13" t="s">
        <v>64</v>
      </c>
      <c r="V24" s="15"/>
      <c r="W24" s="21" t="s">
        <v>256</v>
      </c>
      <c r="X24" s="18"/>
      <c r="Y24" s="18" t="s">
        <v>66</v>
      </c>
    </row>
    <row r="25" ht="189.75" customHeight="1">
      <c r="A25" s="12" t="s">
        <v>257</v>
      </c>
      <c r="B25" s="13" t="s">
        <v>53</v>
      </c>
      <c r="C25" s="14" t="s">
        <v>258</v>
      </c>
      <c r="D25" s="13" t="s">
        <v>96</v>
      </c>
      <c r="E25" s="13" t="s">
        <v>56</v>
      </c>
      <c r="F25" s="15" t="s">
        <v>234</v>
      </c>
      <c r="G25" s="16">
        <v>280.0</v>
      </c>
      <c r="H25" s="16"/>
      <c r="I25" s="15"/>
      <c r="J25" s="13" t="s">
        <v>98</v>
      </c>
      <c r="K25" s="13"/>
      <c r="L25" s="15">
        <v>20.0</v>
      </c>
      <c r="M25" s="15" t="s">
        <v>259</v>
      </c>
      <c r="N25" s="15" t="s">
        <v>260</v>
      </c>
      <c r="O25" s="15" t="s">
        <v>261</v>
      </c>
      <c r="P25" s="15" t="s">
        <v>262</v>
      </c>
      <c r="Q25" s="15" t="s">
        <v>263</v>
      </c>
      <c r="R25" s="15" t="s">
        <v>63</v>
      </c>
      <c r="S25" s="13"/>
      <c r="T25" s="15"/>
      <c r="U25" s="13" t="s">
        <v>64</v>
      </c>
      <c r="V25" s="15"/>
      <c r="W25" s="21" t="s">
        <v>264</v>
      </c>
      <c r="X25" s="18"/>
      <c r="Y25" s="18" t="s">
        <v>66</v>
      </c>
    </row>
    <row r="26" ht="189.75" customHeight="1">
      <c r="A26" s="12" t="s">
        <v>265</v>
      </c>
      <c r="B26" s="13" t="s">
        <v>53</v>
      </c>
      <c r="C26" s="14" t="s">
        <v>266</v>
      </c>
      <c r="D26" s="13" t="s">
        <v>96</v>
      </c>
      <c r="E26" s="13" t="s">
        <v>56</v>
      </c>
      <c r="F26" s="15" t="s">
        <v>267</v>
      </c>
      <c r="G26" s="16">
        <v>45.0</v>
      </c>
      <c r="H26" s="16"/>
      <c r="I26" s="15"/>
      <c r="J26" s="13" t="s">
        <v>98</v>
      </c>
      <c r="K26" s="13"/>
      <c r="L26" s="15">
        <v>25.0</v>
      </c>
      <c r="M26" s="15" t="s">
        <v>268</v>
      </c>
      <c r="N26" s="15" t="s">
        <v>269</v>
      </c>
      <c r="O26" s="15" t="s">
        <v>270</v>
      </c>
      <c r="P26" s="15"/>
      <c r="Q26" s="15" t="s">
        <v>271</v>
      </c>
      <c r="R26" s="15" t="s">
        <v>63</v>
      </c>
      <c r="S26" s="13"/>
      <c r="T26" s="15"/>
      <c r="U26" s="13" t="s">
        <v>64</v>
      </c>
      <c r="V26" s="15"/>
      <c r="W26" s="21" t="s">
        <v>272</v>
      </c>
      <c r="X26" s="18"/>
      <c r="Y26" s="18" t="s">
        <v>66</v>
      </c>
    </row>
    <row r="27" ht="189.75" customHeight="1">
      <c r="A27" s="12" t="s">
        <v>273</v>
      </c>
      <c r="B27" s="13" t="s">
        <v>53</v>
      </c>
      <c r="C27" s="14" t="s">
        <v>274</v>
      </c>
      <c r="D27" s="13" t="s">
        <v>275</v>
      </c>
      <c r="E27" s="13" t="s">
        <v>56</v>
      </c>
      <c r="F27" s="15" t="s">
        <v>276</v>
      </c>
      <c r="G27" s="16">
        <v>45.0</v>
      </c>
      <c r="H27" s="16"/>
      <c r="I27" s="15"/>
      <c r="J27" s="13" t="s">
        <v>136</v>
      </c>
      <c r="K27" s="13"/>
      <c r="L27" s="15">
        <v>20.0</v>
      </c>
      <c r="M27" s="15" t="s">
        <v>277</v>
      </c>
      <c r="N27" s="15" t="s">
        <v>278</v>
      </c>
      <c r="O27" s="15" t="s">
        <v>279</v>
      </c>
      <c r="P27" s="15"/>
      <c r="Q27" s="15" t="s">
        <v>280</v>
      </c>
      <c r="R27" s="15" t="s">
        <v>63</v>
      </c>
      <c r="S27" s="13" t="s">
        <v>162</v>
      </c>
      <c r="T27" s="15"/>
      <c r="U27" s="13" t="s">
        <v>64</v>
      </c>
      <c r="V27" s="15"/>
      <c r="W27" s="21" t="s">
        <v>281</v>
      </c>
      <c r="X27" s="18"/>
      <c r="Y27" s="18" t="s">
        <v>66</v>
      </c>
    </row>
    <row r="28" ht="189.75" customHeight="1">
      <c r="A28" s="12" t="s">
        <v>282</v>
      </c>
      <c r="B28" s="13" t="s">
        <v>53</v>
      </c>
      <c r="C28" s="14" t="s">
        <v>283</v>
      </c>
      <c r="D28" s="13" t="s">
        <v>275</v>
      </c>
      <c r="E28" s="13" t="s">
        <v>56</v>
      </c>
      <c r="F28" s="15" t="s">
        <v>106</v>
      </c>
      <c r="G28" s="16">
        <v>20.0</v>
      </c>
      <c r="H28" s="16"/>
      <c r="I28" s="15"/>
      <c r="J28" s="13" t="s">
        <v>136</v>
      </c>
      <c r="K28" s="13"/>
      <c r="L28" s="15">
        <v>50.0</v>
      </c>
      <c r="M28" s="15" t="s">
        <v>284</v>
      </c>
      <c r="N28" s="15" t="s">
        <v>285</v>
      </c>
      <c r="O28" s="15" t="s">
        <v>286</v>
      </c>
      <c r="P28" s="15"/>
      <c r="Q28" s="15" t="s">
        <v>287</v>
      </c>
      <c r="R28" s="15" t="s">
        <v>63</v>
      </c>
      <c r="S28" s="13" t="s">
        <v>53</v>
      </c>
      <c r="T28" s="15"/>
      <c r="U28" s="13" t="s">
        <v>64</v>
      </c>
      <c r="V28" s="15"/>
      <c r="W28" s="21" t="s">
        <v>288</v>
      </c>
      <c r="X28" s="18"/>
      <c r="Y28" s="18" t="s">
        <v>66</v>
      </c>
    </row>
    <row r="29" ht="189.75" customHeight="1">
      <c r="A29" s="12" t="s">
        <v>289</v>
      </c>
      <c r="B29" s="13" t="s">
        <v>53</v>
      </c>
      <c r="C29" s="14" t="s">
        <v>290</v>
      </c>
      <c r="D29" s="13" t="s">
        <v>275</v>
      </c>
      <c r="E29" s="13" t="s">
        <v>56</v>
      </c>
      <c r="F29" s="15" t="s">
        <v>291</v>
      </c>
      <c r="G29" s="16" t="s">
        <v>292</v>
      </c>
      <c r="H29" s="16"/>
      <c r="I29" s="15"/>
      <c r="J29" s="13" t="s">
        <v>136</v>
      </c>
      <c r="K29" s="13"/>
      <c r="L29" s="15">
        <v>10.0</v>
      </c>
      <c r="M29" s="15" t="s">
        <v>293</v>
      </c>
      <c r="N29" s="15" t="s">
        <v>294</v>
      </c>
      <c r="O29" s="15" t="s">
        <v>295</v>
      </c>
      <c r="P29" s="15" t="s">
        <v>296</v>
      </c>
      <c r="Q29" s="15" t="s">
        <v>297</v>
      </c>
      <c r="R29" s="15" t="s">
        <v>63</v>
      </c>
      <c r="S29" s="13" t="s">
        <v>53</v>
      </c>
      <c r="T29" s="15"/>
      <c r="U29" s="13" t="s">
        <v>64</v>
      </c>
      <c r="V29" s="15"/>
      <c r="W29" s="17" t="s">
        <v>298</v>
      </c>
      <c r="X29" s="18"/>
      <c r="Y29" s="18" t="s">
        <v>66</v>
      </c>
    </row>
    <row r="30" ht="189.75" customHeight="1">
      <c r="A30" s="12" t="s">
        <v>299</v>
      </c>
      <c r="B30" s="13" t="s">
        <v>53</v>
      </c>
      <c r="C30" s="14" t="s">
        <v>300</v>
      </c>
      <c r="D30" s="13" t="s">
        <v>275</v>
      </c>
      <c r="E30" s="13" t="s">
        <v>56</v>
      </c>
      <c r="F30" s="15" t="s">
        <v>106</v>
      </c>
      <c r="G30" s="16">
        <v>20.0</v>
      </c>
      <c r="H30" s="16"/>
      <c r="I30" s="15"/>
      <c r="J30" s="13" t="s">
        <v>136</v>
      </c>
      <c r="K30" s="13"/>
      <c r="L30" s="15">
        <v>50.0</v>
      </c>
      <c r="M30" s="15" t="s">
        <v>301</v>
      </c>
      <c r="N30" s="15" t="s">
        <v>302</v>
      </c>
      <c r="O30" s="15" t="s">
        <v>303</v>
      </c>
      <c r="P30" s="15"/>
      <c r="Q30" s="15" t="s">
        <v>304</v>
      </c>
      <c r="R30" s="15" t="s">
        <v>63</v>
      </c>
      <c r="S30" s="13" t="s">
        <v>53</v>
      </c>
      <c r="T30" s="15"/>
      <c r="U30" s="13" t="s">
        <v>64</v>
      </c>
      <c r="V30" s="15"/>
      <c r="W30" s="17" t="s">
        <v>305</v>
      </c>
      <c r="X30" s="18"/>
      <c r="Y30" s="18" t="s">
        <v>66</v>
      </c>
    </row>
    <row r="31" ht="189.75" customHeight="1">
      <c r="A31" s="12" t="s">
        <v>306</v>
      </c>
      <c r="B31" s="13" t="s">
        <v>53</v>
      </c>
      <c r="C31" s="14" t="s">
        <v>307</v>
      </c>
      <c r="D31" s="13" t="s">
        <v>308</v>
      </c>
      <c r="E31" s="13" t="s">
        <v>309</v>
      </c>
      <c r="F31" s="15" t="s">
        <v>204</v>
      </c>
      <c r="G31" s="16">
        <v>15.0</v>
      </c>
      <c r="H31" s="16"/>
      <c r="I31" s="22" t="s">
        <v>310</v>
      </c>
      <c r="J31" s="13" t="s">
        <v>311</v>
      </c>
      <c r="K31" s="13"/>
      <c r="L31" s="15">
        <v>4.0</v>
      </c>
      <c r="M31" s="15" t="s">
        <v>312</v>
      </c>
      <c r="N31" s="15" t="s">
        <v>313</v>
      </c>
      <c r="O31" s="15" t="s">
        <v>314</v>
      </c>
      <c r="P31" s="15"/>
      <c r="Q31" s="15" t="s">
        <v>315</v>
      </c>
      <c r="R31" s="15" t="s">
        <v>316</v>
      </c>
      <c r="S31" s="13"/>
      <c r="T31" s="15"/>
      <c r="U31" s="13"/>
      <c r="V31" s="15"/>
      <c r="W31" s="17" t="s">
        <v>317</v>
      </c>
      <c r="X31" s="18"/>
      <c r="Y31" s="18" t="s">
        <v>66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31"/>
  <dataValidations>
    <dataValidation type="list" allowBlank="1" sqref="B2:B31 S2:S31">
      <formula1>"آه,لأ"</formula1>
    </dataValidation>
    <dataValidation type="list" allowBlank="1" sqref="Y2:Y31">
      <formula1>"مسودة,معتمد"</formula1>
    </dataValidation>
    <dataValidation type="list" allowBlank="1" sqref="D2:D31">
      <formula1>"صحرا,بحر,ثقافة,عروض,انتقالات"</formula1>
    </dataValidation>
    <dataValidation type="list" allowBlank="1" sqref="E2:E31">
      <formula1>"رحلة,بالطلب,انتقال"</formula1>
    </dataValidation>
    <dataValidation type="decimal" operator="greaterThanOrEqual" allowBlank="1" sqref="G2:H31 L2:L31 T2:T31">
      <formula1>0.0</formula1>
    </dataValidation>
    <dataValidation type="list" allowBlank="1" sqref="U2:U31">
      <formula1>"مشمول,مش مشمول,بعض المناطق"</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6.0"/>
    <col customWidth="1" min="2" max="2" width="12.0"/>
    <col customWidth="1" min="3" max="26" width="8.57"/>
  </cols>
  <sheetData>
    <row r="1">
      <c r="A1" s="2" t="s">
        <v>1</v>
      </c>
      <c r="B1" s="8">
        <f>COUNTA('الرحلات'!A2:A31)</f>
        <v>30</v>
      </c>
    </row>
    <row r="2">
      <c r="A2" s="2" t="s">
        <v>26</v>
      </c>
      <c r="B2" s="8">
        <f>COUNTIF('الرحلات'!Y2:Y31,"معتمد")</f>
        <v>0</v>
      </c>
    </row>
    <row r="3">
      <c r="A3" s="2" t="s">
        <v>36</v>
      </c>
      <c r="B3" s="8">
        <f>COUNTIF('الرحلات'!Y2:Y31,"مسودة")</f>
        <v>30</v>
      </c>
    </row>
    <row r="4">
      <c r="A4" s="2" t="s">
        <v>44</v>
      </c>
      <c r="B4" s="8">
        <f>COUNTIF('الرحلات'!W2:W31,"?*")</f>
        <v>25</v>
      </c>
    </row>
    <row r="5">
      <c r="A5" s="2" t="s">
        <v>50</v>
      </c>
      <c r="B5" s="8">
        <f>COUNTIF('الرحلات'!X2:X31,"?*")</f>
        <v>0</v>
      </c>
    </row>
    <row r="6">
      <c r="A6" s="2" t="s">
        <v>52</v>
      </c>
      <c r="B6" s="8">
        <f>COUNTIF('الرحلات'!B2:B31,"آه")</f>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